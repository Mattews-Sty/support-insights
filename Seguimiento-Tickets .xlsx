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20.xml" ContentType="application/vnd.openxmlformats-officedocument.spreadsheetml.table+xml"/>
  <Override PartName="/xl/tables/table18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16.xml" ContentType="application/vnd.openxmlformats-officedocument.spreadsheetml.table+xml"/>
  <Override PartName="/xl/tables/table15.xml" ContentType="application/vnd.openxmlformats-officedocument.spreadsheetml.table+xml"/>
  <Override PartName="/xl/tables/table17.xml" ContentType="application/vnd.openxmlformats-officedocument.spreadsheetml.table+xml"/>
  <Override PartName="/xl/tables/table19.xml" ContentType="application/vnd.openxmlformats-officedocument.spreadsheetml.table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Enero" sheetId="1" state="visible" r:id="rId3"/>
    <sheet name="Febrero" sheetId="2" state="visible" r:id="rId4"/>
    <sheet name="Resumen" sheetId="3" state="visible" r:id="rId5"/>
    <sheet name="Marzo" sheetId="4" state="visible" r:id="rId6"/>
    <sheet name="Abril" sheetId="5" state="visible" r:id="rId7"/>
    <sheet name="Mayo" sheetId="6" state="visible" r:id="rId8"/>
    <sheet name="Junio" sheetId="7" state="visible" r:id="rId9"/>
    <sheet name="Julio" sheetId="8" state="visible" r:id="rId10"/>
    <sheet name="Agosto" sheetId="9" state="visible" r:id="rId11"/>
    <sheet name="Septiembre" sheetId="10" state="visible" r:id="rId12"/>
    <sheet name="Octubre" sheetId="11" state="visible" r:id="rId13"/>
    <sheet name="Noviembr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Inicio sprint 1
	-Angie Lisset Becerra</t>
        </r>
      </text>
    </comment>
    <comment ref="A43" authorId="0">
      <text>
        <r>
          <rPr>
            <sz val="10"/>
            <rFont val="Arial"/>
            <family val="2"/>
          </rPr>
          <t xml:space="preserve">Sprint 2
	-Angie Lisset Becerra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Inicio sprint 3
	-Angie Lisset Becerra</t>
        </r>
      </text>
    </comment>
    <comment ref="A38" authorId="0">
      <text>
        <r>
          <rPr>
            <sz val="10"/>
            <rFont val="Arial"/>
            <family val="2"/>
          </rPr>
          <t xml:space="preserve">Sprint4
	-Angie Lisset Becerra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Sprint5
	-Angie Lisset Becerra</t>
        </r>
      </text>
    </comment>
    <comment ref="A31" authorId="0">
      <text>
        <r>
          <rPr>
            <sz val="10"/>
            <rFont val="Arial"/>
            <family val="2"/>
          </rPr>
          <t xml:space="preserve">Sprint6
	-Angie Lisset Becerra</t>
        </r>
      </text>
    </comment>
    <comment ref="A59" authorId="0">
      <text>
        <r>
          <rPr>
            <sz val="10"/>
            <rFont val="Arial"/>
            <family val="2"/>
          </rPr>
          <t xml:space="preserve">Inicio sprint 7
	-Angie Lisset Becerra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7" authorId="0">
      <text>
        <r>
          <rPr>
            <sz val="10"/>
            <rFont val="Arial"/>
            <family val="2"/>
          </rPr>
          <t xml:space="preserve">Sprint8
	-Angie Lisset Becerra
----
Sprint8
	-Angie Lisset Becerra</t>
        </r>
      </text>
    </comment>
    <comment ref="A52" authorId="0">
      <text>
        <r>
          <rPr>
            <sz val="10"/>
            <rFont val="Arial"/>
            <family val="2"/>
          </rPr>
          <t xml:space="preserve">Sprint 9
	-Johan Muñoz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Sprint10
	-Angie Lisset Becerra</t>
        </r>
      </text>
    </comment>
    <comment ref="A53" authorId="0">
      <text>
        <r>
          <rPr>
            <sz val="10"/>
            <rFont val="Arial"/>
            <family val="2"/>
          </rPr>
          <t xml:space="preserve">Sprint 11
	-Angie Lisset Becerra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Sprint 12
	-Angie Lisset Becerra</t>
        </r>
      </text>
    </comment>
    <comment ref="A35" authorId="0">
      <text>
        <r>
          <rPr>
            <sz val="10"/>
            <rFont val="Arial"/>
            <family val="2"/>
          </rPr>
          <t xml:space="preserve">Inicio Sprint 13
	-Johan Muñoz</t>
        </r>
      </text>
    </comment>
    <comment ref="F34" authorId="0">
      <text>
        <r>
          <rPr>
            <sz val="10"/>
            <rFont val="Arial"/>
            <family val="2"/>
          </rPr>
          <t xml:space="preserve">Paso directo a soporte 2
	-Angie Lisset Becerra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Sprint14
	-Angie Lisset Becerra</t>
        </r>
      </text>
    </comment>
    <comment ref="A36" authorId="0">
      <text>
        <r>
          <rPr>
            <sz val="10"/>
            <rFont val="Arial"/>
            <family val="2"/>
          </rPr>
          <t xml:space="preserve">Sprint15
	-Angie Lisset Becerra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Sprint16
	-Angie Lisset Becerra</t>
        </r>
      </text>
    </comment>
    <comment ref="A38" authorId="0">
      <text>
        <r>
          <rPr>
            <sz val="10"/>
            <rFont val="Arial"/>
            <family val="2"/>
          </rPr>
          <t xml:space="preserve">Sprint 17
	-Angie Lisset Becerra</t>
        </r>
      </text>
    </comment>
    <comment ref="F55" authorId="0">
      <text>
        <r>
          <rPr>
            <sz val="10"/>
            <rFont val="Arial"/>
            <family val="2"/>
          </rPr>
          <t xml:space="preserve">No se ha realizado por falta de presupuesto
	-Angie Lisset Becerra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Sprint 18
	-Angie Lisset Becerra</t>
        </r>
      </text>
    </comment>
    <comment ref="A17" authorId="0">
      <text>
        <r>
          <rPr>
            <sz val="10"/>
            <rFont val="Arial"/>
            <family val="2"/>
          </rPr>
          <t xml:space="preserve">Sprint 19
	-Angie Lisset Becerra</t>
        </r>
      </text>
    </comment>
    <comment ref="A32" authorId="0">
      <text>
        <r>
          <rPr>
            <sz val="10"/>
            <rFont val="Arial"/>
            <family val="2"/>
          </rPr>
          <t xml:space="preserve">Sprint 20
	-Angie Lisset Becerra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Sprint 21
	-Angie Lisset Becerra</t>
        </r>
      </text>
    </comment>
    <comment ref="A31" authorId="0">
      <text>
        <r>
          <rPr>
            <sz val="10"/>
            <rFont val="Arial"/>
            <family val="2"/>
          </rPr>
          <t xml:space="preserve">Sprint 22
	-Angie Lisset Becerra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Sprint 23
	-Angie Lisset Becerra</t>
        </r>
      </text>
    </comment>
    <comment ref="A23" authorId="0">
      <text>
        <r>
          <rPr>
            <sz val="10"/>
            <rFont val="Arial"/>
            <family val="2"/>
          </rPr>
          <t xml:space="preserve">Lunes festivo
	-Angie Lisset Becerra</t>
        </r>
      </text>
    </comment>
    <comment ref="A28" authorId="0">
      <text>
        <r>
          <rPr>
            <sz val="10"/>
            <rFont val="Arial"/>
            <family val="2"/>
          </rPr>
          <t xml:space="preserve">Sprint 24
	-Angie Lisset Becerra</t>
        </r>
      </text>
    </comment>
  </commentList>
</comments>
</file>

<file path=xl/sharedStrings.xml><?xml version="1.0" encoding="utf-8"?>
<sst xmlns="http://schemas.openxmlformats.org/spreadsheetml/2006/main" count="4779" uniqueCount="1382">
  <si>
    <t xml:space="preserve">FECHA DE SOLICITUD</t>
  </si>
  <si>
    <t xml:space="preserve">SPRINT</t>
  </si>
  <si>
    <t xml:space="preserve">DÍA</t>
  </si>
  <si>
    <t xml:space="preserve">CLIENTE</t>
  </si>
  <si>
    <t xml:space="preserve">TIPO DE SOLICITUD</t>
  </si>
  <si>
    <t xml:space="preserve">TICKET</t>
  </si>
  <si>
    <t xml:space="preserve">PRIORIDAD</t>
  </si>
  <si>
    <t xml:space="preserve">ASIGNACIÓN</t>
  </si>
  <si>
    <t xml:space="preserve">ESTADO</t>
  </si>
  <si>
    <t xml:space="preserve">FECHA DE SOLUCIÓN</t>
  </si>
  <si>
    <t xml:space="preserve">SP</t>
  </si>
  <si>
    <t xml:space="preserve">TIEMPO DE SOLUCIÓN</t>
  </si>
  <si>
    <t xml:space="preserve">ENLACE CLICKUP</t>
  </si>
  <si>
    <t xml:space="preserve">QA</t>
  </si>
  <si>
    <t xml:space="preserve">OBSERVACIONES</t>
  </si>
  <si>
    <t xml:space="preserve">Jueves</t>
  </si>
  <si>
    <t xml:space="preserve">Comfinagro</t>
  </si>
  <si>
    <t xml:space="preserve">Soporte</t>
  </si>
  <si>
    <t xml:space="preserve">Creación de la réplica tabla maestra 2025</t>
  </si>
  <si>
    <t xml:space="preserve">Alta</t>
  </si>
  <si>
    <t xml:space="preserve">Carlos M</t>
  </si>
  <si>
    <t xml:space="preserve">Closed</t>
  </si>
  <si>
    <t xml:space="preserve">https://app.clickup.com/t/86b3bucnb</t>
  </si>
  <si>
    <t xml:space="preserve">108-Error conexión a Servidor Horus - Archivos Principal</t>
  </si>
  <si>
    <t xml:space="preserve">Blue</t>
  </si>
  <si>
    <t xml:space="preserve">https://app.clickup.com/t/86b3c37hr</t>
  </si>
  <si>
    <t xml:space="preserve">Relación de Operaciones para Facturas IBGE3822 y IBGE3772</t>
  </si>
  <si>
    <t xml:space="preserve">https://app.clickup.com/t/86b3c3bg6</t>
  </si>
  <si>
    <t xml:space="preserve">Cliente cierra, que ya no es necesario</t>
  </si>
  <si>
    <t xml:space="preserve">Duplicadas Operaciones Diciembre 12 2024</t>
  </si>
  <si>
    <t xml:space="preserve">https://app.clickup.com/t/86b3c4z30</t>
  </si>
  <si>
    <t xml:space="preserve">Se solicita ayuda a Ginna para poder comprender un poc la tarea</t>
  </si>
  <si>
    <t xml:space="preserve">Cetaphil</t>
  </si>
  <si>
    <t xml:space="preserve">Cetaphil data points missing</t>
  </si>
  <si>
    <t xml:space="preserve">Mateo</t>
  </si>
  <si>
    <t xml:space="preserve">https://app.clickup.com/t/86b3c79v1</t>
  </si>
  <si>
    <t xml:space="preserve">Viernes</t>
  </si>
  <si>
    <t xml:space="preserve">No acceso carpeta compartida planos_jmosquera (//192.168</t>
  </si>
  <si>
    <t xml:space="preserve">https://app.clickup.com/t/86b3cy3xm</t>
  </si>
  <si>
    <t xml:space="preserve">No accesos una de las carpetas del servidor  Paula Rojas</t>
  </si>
  <si>
    <t xml:space="preserve">https://app.clickup.com/t/86b3cy9cc</t>
  </si>
  <si>
    <t xml:space="preserve">Martes</t>
  </si>
  <si>
    <t xml:space="preserve">Inconvenientes con el envío de Correos Fernando Trujillo</t>
  </si>
  <si>
    <t xml:space="preserve">https://app.clickup.com/t/86b3e0ypf</t>
  </si>
  <si>
    <t xml:space="preserve">Instalación de token y asignación de credenciales para Certicámara</t>
  </si>
  <si>
    <t xml:space="preserve">https://app.clickup.com/t/86b3e2ga2</t>
  </si>
  <si>
    <t xml:space="preserve">Ncarb</t>
  </si>
  <si>
    <t xml:space="preserve">About Page Side Bar Screen Reader</t>
  </si>
  <si>
    <t xml:space="preserve">Normal</t>
  </si>
  <si>
    <t xml:space="preserve">https://app.clickup.com/t/86b3af7hc</t>
  </si>
  <si>
    <t xml:space="preserve">Darker Grey Date, Name, Tags on Blog and Press Listing</t>
  </si>
  <si>
    <t xml:space="preserve">https://app.clickup.com/t/86b3af0am</t>
  </si>
  <si>
    <t xml:space="preserve">Accessibility: Blog Listing Page Alt Text</t>
  </si>
  <si>
    <t xml:space="preserve">Carlos</t>
  </si>
  <si>
    <t xml:space="preserve">https://app.clickup.com/t/86b3aeyv6</t>
  </si>
  <si>
    <t xml:space="preserve">Listing Page Numbers + Arrows Color</t>
  </si>
  <si>
    <t xml:space="preserve">https://app.clickup.com/t/86b3af00u</t>
  </si>
  <si>
    <t xml:space="preserve">Problema de acceso a Horus - Diana Cárdenas</t>
  </si>
  <si>
    <t xml:space="preserve">https://app.clickup.com/t/86b3eady3</t>
  </si>
  <si>
    <t xml:space="preserve">Ticket para Dev</t>
  </si>
  <si>
    <t xml:space="preserve">Miércoles</t>
  </si>
  <si>
    <t xml:space="preserve">Configuraciones</t>
  </si>
  <si>
    <t xml:space="preserve">Actualización Reglas Outlook</t>
  </si>
  <si>
    <t xml:space="preserve">https://app.clickup.com/t/86b3ehfyp</t>
  </si>
  <si>
    <t xml:space="preserve">Solicitud Mantenimiento Equipo Lucy Rojas</t>
  </si>
  <si>
    <t xml:space="preserve">https://app.clickup.com/t/86b3ejx88</t>
  </si>
  <si>
    <t xml:space="preserve">Creación y Configuración Usuario en Computador Bogotá</t>
  </si>
  <si>
    <t xml:space="preserve">https://app.clickup.com/t/86b3ejy39</t>
  </si>
  <si>
    <t xml:space="preserve">Pendiente confirmación por Comfinagro</t>
  </si>
  <si>
    <t xml:space="preserve">Actualización Tabla SUBYACENTES HORUS</t>
  </si>
  <si>
    <t xml:space="preserve">Iván</t>
  </si>
  <si>
    <t xml:space="preserve">https://app.clickup.com/t/86b3ejakv</t>
  </si>
  <si>
    <t xml:space="preserve">WWilson</t>
  </si>
  <si>
    <t xml:space="preserve">Notice Regarding Expiration of Website + Marketing Basic Renewal and Security Measures for wlwilson.com</t>
  </si>
  <si>
    <t xml:space="preserve">Andrés</t>
  </si>
  <si>
    <t xml:space="preserve">https://app.clickup.com/t/86b3er8tu</t>
  </si>
  <si>
    <t xml:space="preserve">Error de Conexión al servidor de archivos: Carlos Torres</t>
  </si>
  <si>
    <t xml:space="preserve">Urgente</t>
  </si>
  <si>
    <t xml:space="preserve">https://app.clickup.com/t/86b3etpeb</t>
  </si>
  <si>
    <t xml:space="preserve">Duplicados en las operaciones de facturas registradas el 8 de enero</t>
  </si>
  <si>
    <t xml:space="preserve">https://app.clickup.com/t/86b3f2h8k</t>
  </si>
  <si>
    <t xml:space="preserve">Reporte Estadisticas 2025</t>
  </si>
  <si>
    <t xml:space="preserve">https://app.clickup.com/t/86b3f76by</t>
  </si>
  <si>
    <t xml:space="preserve">Fallo de conexión Wi-Fi en Cali</t>
  </si>
  <si>
    <t xml:space="preserve">https://app.clickup.com/t/86b3f8f7w</t>
  </si>
  <si>
    <t xml:space="preserve">IDK</t>
  </si>
  <si>
    <t xml:space="preserve">Problema con la sincronización de tareas al usar el botón</t>
  </si>
  <si>
    <t xml:space="preserve">Diego</t>
  </si>
  <si>
    <t xml:space="preserve">https://app.clickup.com/t/86b3fhc8f</t>
  </si>
  <si>
    <t xml:space="preserve">Error al enviar el tiempo balanceado a Toggl</t>
  </si>
  <si>
    <t xml:space="preserve">https://app.clickup.com/t/86b3fhemx</t>
  </si>
  <si>
    <t xml:space="preserve">Revisión</t>
  </si>
  <si>
    <t xml:space="preserve">Update LRT Description</t>
  </si>
  <si>
    <t xml:space="preserve">https://app.clickup.com/t/86b3fjxcb</t>
  </si>
  <si>
    <t xml:space="preserve">Add new review from Blueink to One Shining Soul book</t>
  </si>
  <si>
    <t xml:space="preserve">Héctor</t>
  </si>
  <si>
    <t xml:space="preserve">https://app.clickup.com/t/86b3af3g4</t>
  </si>
  <si>
    <t xml:space="preserve">Create a new image to place new link in the Interviews and Media section</t>
  </si>
  <si>
    <t xml:space="preserve">https://app.clickup.com/t/86b3ae4mh</t>
  </si>
  <si>
    <t xml:space="preserve">Include new link in the Interviews and Media section</t>
  </si>
  <si>
    <t xml:space="preserve">https://app.clickup.com/t/86b3advyn</t>
  </si>
  <si>
    <t xml:space="preserve">Lunes</t>
  </si>
  <si>
    <t xml:space="preserve">CREAR REGLA OUTLOOK VACACIONES LAURA ORTIZ</t>
  </si>
  <si>
    <t xml:space="preserve">https://app.clickup.com/t/86b3gdezm</t>
  </si>
  <si>
    <t xml:space="preserve">Zuckerman</t>
  </si>
  <si>
    <t xml:space="preserve">Add floating call-to-action linked to the contact page</t>
  </si>
  <si>
    <t xml:space="preserve">https://app.clickup.com/t/454056/ZL-1495</t>
  </si>
  <si>
    <t xml:space="preserve">Display issue in welcome pop-up</t>
  </si>
  <si>
    <t xml:space="preserve">https://app.clickup.com/t/454056/ZL-1494</t>
  </si>
  <si>
    <t xml:space="preserve">LRT Tour Position</t>
  </si>
  <si>
    <t xml:space="preserve">https://app.clickup.com/t/86b3hmddu</t>
  </si>
  <si>
    <t xml:space="preserve">Ajustes</t>
  </si>
  <si>
    <t xml:space="preserve">Eliminar operación 72229242 en Horus</t>
  </si>
  <si>
    <t xml:space="preserve">https://app.clickup.com/t/86b3hmx6p</t>
  </si>
  <si>
    <t xml:space="preserve">Explanation of how to edit text in images on the website</t>
  </si>
  <si>
    <t xml:space="preserve">https://app.clickup.com/t/454056/ZL-1498</t>
  </si>
  <si>
    <t xml:space="preserve">BMS</t>
  </si>
  <si>
    <t xml:space="preserve">Check error: ImportError: cannot import name 'Periodicity' from 'bms.debts.models</t>
  </si>
  <si>
    <t xml:space="preserve">https://app.clickup.com/t/86b3hrffz</t>
  </si>
  <si>
    <t xml:space="preserve">Solicitud de Eliminación Cliente en Horus</t>
  </si>
  <si>
    <t xml:space="preserve">https://app.clickup.com/t/86b3j0g01</t>
  </si>
  <si>
    <t xml:space="preserve">Error</t>
  </si>
  <si>
    <t xml:space="preserve">Bug: Lightbox Scheduling Tool</t>
  </si>
  <si>
    <t xml:space="preserve">https://app.clickup.com/t/86b3j2ddc</t>
  </si>
  <si>
    <t xml:space="preserve">ERROR EN CONSECUTIVO FACTURA IBGE - ASIGNACIÓN NO. CORRECTO FACTURA A NO. DE OPERACIONES</t>
  </si>
  <si>
    <t xml:space="preserve">https://app.clickup.com/t/86b3j2nkv</t>
  </si>
  <si>
    <t xml:space="preserve">ECOS</t>
  </si>
  <si>
    <t xml:space="preserve">Corrección</t>
  </si>
  <si>
    <t xml:space="preserve">Review issue with the map on the website</t>
  </si>
  <si>
    <t xml:space="preserve">https://app.clickup.com/t/86b3j8d88</t>
  </si>
  <si>
    <t xml:space="preserve">Faktur</t>
  </si>
  <si>
    <t xml:space="preserve">Revisión del ambiente de pruebas: facturas no visibles en el admin de Django</t>
  </si>
  <si>
    <t xml:space="preserve">Inconvenientes en Validar archivos en Horus</t>
  </si>
  <si>
    <t xml:space="preserve">https://app.clickup.com/t/86b3k7g5t</t>
  </si>
  <si>
    <t xml:space="preserve">Nulab</t>
  </si>
  <si>
    <t xml:space="preserve">Error al ingresar a LIMS</t>
  </si>
  <si>
    <t xml:space="preserve">https://app.clickup.com/t/86b3k8cev</t>
  </si>
  <si>
    <t xml:space="preserve">Duplicado de código de dos muestras distintas</t>
  </si>
  <si>
    <t xml:space="preserve">https://app.clickup.com/t/86b3k91m9</t>
  </si>
  <si>
    <t xml:space="preserve">IT</t>
  </si>
  <si>
    <t xml:space="preserve">Revisar automatizaciones ClickUp de acuerdo a convención y documentar</t>
  </si>
  <si>
    <t xml:space="preserve">José</t>
  </si>
  <si>
    <t xml:space="preserve">https://app.clickup.com/t/86b3k8wf0</t>
  </si>
  <si>
    <t xml:space="preserve">Revisar, ajustar y documentar estados ClickUp</t>
  </si>
  <si>
    <t xml:space="preserve">https://app.clickup.com/t/86b3k93qz</t>
  </si>
  <si>
    <t xml:space="preserve">Swapps</t>
  </si>
  <si>
    <t xml:space="preserve">Diseño</t>
  </si>
  <si>
    <t xml:space="preserve">Design of Graphics for Swapps and Smart Web Apps Anniversary</t>
  </si>
  <si>
    <t xml:space="preserve">https://app.clickup.com/t/454056/SLA-1143</t>
  </si>
  <si>
    <t xml:space="preserve">Provide access to Ivan's recording</t>
  </si>
  <si>
    <t xml:space="preserve">https://app.clickup.com/t/86b3k9wx2</t>
  </si>
  <si>
    <t xml:space="preserve">Mejoras</t>
  </si>
  <si>
    <t xml:space="preserve">Based on design proposal implements floating call-to-action button for the Website</t>
  </si>
  <si>
    <t xml:space="preserve">https://app.clickup.com/t/454056/ZL-1509</t>
  </si>
  <si>
    <t xml:space="preserve">Problema con el correo electrónico de Manuel Moreno</t>
  </si>
  <si>
    <t xml:space="preserve">https://app.clickup.com/t/86b3kqn2g</t>
  </si>
  <si>
    <t xml:space="preserve">Dejusticia</t>
  </si>
  <si>
    <t xml:space="preserve">Validar soporte de licencia en WordPress</t>
  </si>
  <si>
    <t xml:space="preserve">https://app.clickup.com/t/86b3kubac</t>
  </si>
  <si>
    <t xml:space="preserve">Test WHM, Cpanel and FTP connection</t>
  </si>
  <si>
    <t xml:space="preserve">https://app.clickup.com/t/86b3kuhb0</t>
  </si>
  <si>
    <t xml:space="preserve">Review and compare PHP and apache versions and modules</t>
  </si>
  <si>
    <t xml:space="preserve">https://app.clickup.com/t/86b3kujp9</t>
  </si>
  <si>
    <t xml:space="preserve">Crear cuenta en GitHub para Comfinagro</t>
  </si>
  <si>
    <t xml:space="preserve">https://app.clickup.com/t/86b3ky7y3</t>
  </si>
  <si>
    <t xml:space="preserve">Provide password for dev@swapps.com access</t>
  </si>
  <si>
    <t xml:space="preserve">https://app.clickup.com/t/86b3m5rj1</t>
  </si>
  <si>
    <t xml:space="preserve">Facialart</t>
  </si>
  <si>
    <t xml:space="preserve">Question about exporting the Ultimate Members list in WordPress</t>
  </si>
  <si>
    <t xml:space="preserve">https://app.clickup.com/t/86b3m4tvn</t>
  </si>
  <si>
    <t xml:space="preserve">Provide Figma access to Carlos and LastPass to Ivan</t>
  </si>
  <si>
    <t xml:space="preserve">https://app.clickup.com/t/86b3m7kvn</t>
  </si>
  <si>
    <t xml:space="preserve">CLIENTES YA FACTURADOS</t>
  </si>
  <si>
    <t xml:space="preserve">https://app.clickup.com/t/86b3m937r</t>
  </si>
  <si>
    <t xml:space="preserve">Problemas con VPN y acceso a carpetas compartidas del Horus - Sr. Vicente Amador</t>
  </si>
  <si>
    <t xml:space="preserve">https://app.clickup.com/t/86b3n141u</t>
  </si>
  <si>
    <t xml:space="preserve">Solicitud Anular Operación en Horus</t>
  </si>
  <si>
    <t xml:space="preserve">https://app.clickup.com/t/86b3n17f3</t>
  </si>
  <si>
    <t xml:space="preserve">[DeJusticia][Req] Ajustes menu, publicaciones</t>
  </si>
  <si>
    <t xml:space="preserve">Baja</t>
  </si>
  <si>
    <t xml:space="preserve">https://app.clickup.com/t/86b3mykcc</t>
  </si>
  <si>
    <t xml:space="preserve">1//24/2025</t>
  </si>
  <si>
    <t xml:space="preserve">https://app.clickup.com/t/86b3ncm72</t>
  </si>
  <si>
    <t xml:space="preserve">Liberar espacio servidor dbprod</t>
  </si>
  <si>
    <t xml:space="preserve">https://app.clickup.com/t/86b3ncqt8</t>
  </si>
  <si>
    <t xml:space="preserve">Solve Yoast redirection issue</t>
  </si>
  <si>
    <t xml:space="preserve">https://app.clickup.com/t/86b3nd8qk</t>
  </si>
  <si>
    <t xml:space="preserve">Alerta de phishing detectada y reclasificada por Google</t>
  </si>
  <si>
    <t xml:space="preserve">https://app.clickup.com/t/86b3netme</t>
  </si>
  <si>
    <t xml:space="preserve">Domingo</t>
  </si>
  <si>
    <t xml:space="preserve">Ajustes prototipo Reportes de Tiempos IDK</t>
  </si>
  <si>
    <t xml:space="preserve">https://app.clickup.com/t/86b3nxfpd</t>
  </si>
  <si>
    <t xml:space="preserve">Solicitud Informe de Operaciones Plan B - Enero 9 2025</t>
  </si>
  <si>
    <t xml:space="preserve">https://app.clickup.com/t/86b3pfgvj</t>
  </si>
  <si>
    <t xml:space="preserve">Faktur no procesa archivos .zip en Dropbox</t>
  </si>
  <si>
    <t xml:space="preserve">https://app.clickup.com/t/86b3pg96u</t>
  </si>
  <si>
    <t xml:space="preserve">Tabby</t>
  </si>
  <si>
    <t xml:space="preserve"> BUG Validate and adjust the message sending in the staging environment API</t>
  </si>
  <si>
    <t xml:space="preserve">https://app.clickup.com/t/86b3pv4xn</t>
  </si>
  <si>
    <t xml:space="preserve">Revisión de cargue pendiente de archivos .zip Certificados Pendientes ZIP JesusMosquera</t>
  </si>
  <si>
    <t xml:space="preserve">https://app.clickup.com/t/86b3q5m1v</t>
  </si>
  <si>
    <t xml:space="preserve">Urgente - Horus in acceso</t>
  </si>
  <si>
    <t xml:space="preserve">1/28/0202</t>
  </si>
  <si>
    <t xml:space="preserve">https://app.clickup.com/t/86b3q7y7r</t>
  </si>
  <si>
    <t xml:space="preserve">Validate and Implement Conditional HTTPS Redirect</t>
  </si>
  <si>
    <t xml:space="preserve">https://app.clickup.com/t/86b3q6tv6</t>
  </si>
  <si>
    <t xml:space="preserve">Error en consecutivo factura IBGE - Asignación Operaciones</t>
  </si>
  <si>
    <t xml:space="preserve">https://app.clickup.com/t/86b3qfu62</t>
  </si>
  <si>
    <t xml:space="preserve">ANULACION OPERACION 72862574 Horus</t>
  </si>
  <si>
    <t xml:space="preserve">https://app.clickup.com/t/86b3qnbgg</t>
  </si>
  <si>
    <t xml:space="preserve">Error en Consecutivo factura IBGE - Asignación Operaciones</t>
  </si>
  <si>
    <t xml:space="preserve">https://app.clickup.com/t/86b3r03na</t>
  </si>
  <si>
    <t xml:space="preserve">Corrección de sincronización con subtareas y ejecución del comando Balance Times sin parámetros</t>
  </si>
  <si>
    <t xml:space="preserve">https://app.clickup.com/t/86b3r8gf9</t>
  </si>
  <si>
    <t xml:space="preserve">URGENTE - Cambio de contraseña de correo auditor@comfinagro.com.co</t>
  </si>
  <si>
    <t xml:space="preserve">https://app.clickup.com/t/86b3rhcu6</t>
  </si>
  <si>
    <t xml:space="preserve">Diferencia Horaria Horus</t>
  </si>
  <si>
    <t xml:space="preserve">https://app.clickup.com/t/86b3rhfdr</t>
  </si>
  <si>
    <t xml:space="preserve">Error con balanceo cuando hay entradas de tiempo existentes [Toggl]</t>
  </si>
  <si>
    <t xml:space="preserve">https://app.clickup.com/t/86b3rk6kx</t>
  </si>
  <si>
    <t xml:space="preserve">Solicitud de actualización de operaciones facturadas para Plan B Investment en Horus</t>
  </si>
  <si>
    <t xml:space="preserve">https://app.clickup.com/t/86b3rpkqf</t>
  </si>
  <si>
    <t xml:space="preserve">Problema con generación y guardado de facturas</t>
  </si>
  <si>
    <t xml:space="preserve">https://app.clickup.com/t/86b3t8dvg</t>
  </si>
  <si>
    <t xml:space="preserve">Entregado al cliente</t>
  </si>
  <si>
    <t xml:space="preserve">Validate and test exchangenetwork.net hosting migration</t>
  </si>
  <si>
    <t xml:space="preserve">https://app.clickup.com/t/86b3t8gqf</t>
  </si>
  <si>
    <t xml:space="preserve">Review exchange-network deploy</t>
  </si>
  <si>
    <t xml:space="preserve">https://app.clickup.com/t/86b3tau9k</t>
  </si>
  <si>
    <t xml:space="preserve">Bug: Redirect not functioning</t>
  </si>
  <si>
    <t xml:space="preserve">https://app.clickup.com/t/86b3tb1ud</t>
  </si>
  <si>
    <t xml:space="preserve">Bug: Redirect for Foreign Arch. Document</t>
  </si>
  <si>
    <t xml:space="preserve">https://app.clickup.com/t/86b3tbv0k</t>
  </si>
  <si>
    <t xml:space="preserve">Error en el código C1505 para dos clientes diferentes</t>
  </si>
  <si>
    <t xml:space="preserve">https://app.clickup.com/t/86b3tcxq2</t>
  </si>
  <si>
    <t xml:space="preserve">Crear carpeta test de sprints</t>
  </si>
  <si>
    <t xml:space="preserve">https://app.clickup.com/t/86b3thee4</t>
  </si>
  <si>
    <t xml:space="preserve">ACTUALIZACIÓN HORUS FACTURAS BGTA</t>
  </si>
  <si>
    <t xml:space="preserve">https://app.clickup.com/t/86b3trrjj</t>
  </si>
  <si>
    <t xml:space="preserve">Review "Download Full Package" button</t>
  </si>
  <si>
    <t xml:space="preserve">https://app.clickup.com/t/86b3tv5ex</t>
  </si>
  <si>
    <t xml:space="preserve">Instalación de VPN computador Paula Rojas</t>
  </si>
  <si>
    <t xml:space="preserve">https://app.clickup.com/t/86b3tx14g</t>
  </si>
  <si>
    <t xml:space="preserve">Grant GA4 access and adjust data retention settings</t>
  </si>
  <si>
    <t xml:space="preserve">https://app.clickup.com/t/86b3twku5</t>
  </si>
  <si>
    <t xml:space="preserve">Upgrade to Mobile Search Function</t>
  </si>
  <si>
    <t xml:space="preserve">https://app.clickup.com/t/86b3u30at</t>
  </si>
  <si>
    <t xml:space="preserve">Estadística ORF 2025 - No se refleja</t>
  </si>
  <si>
    <t xml:space="preserve">https://app.clickup.com/t/86b3uau0y</t>
  </si>
  <si>
    <t xml:space="preserve">Upgrade Deisy's LinkedIn role to Admin</t>
  </si>
  <si>
    <t xml:space="preserve">https://app.clickup.com/t/86b3u58hk</t>
  </si>
  <si>
    <t xml:space="preserve">Error Consecutivo factura IBGE - Asignación Operaciones</t>
  </si>
  <si>
    <t xml:space="preserve">https://app.clickup.com/t/86b3uea3c</t>
  </si>
  <si>
    <t xml:space="preserve">Corrección de balanceo en tareas con tiempo trackeado mayor al estimado [Toggl]</t>
  </si>
  <si>
    <t xml:space="preserve">Ready for testing </t>
  </si>
  <si>
    <t xml:space="preserve">https://app.clickup.com/t/86b3ufnrw</t>
  </si>
  <si>
    <t xml:space="preserve">Habilitar sincronización de tiempos en vista de detalles de tarea</t>
  </si>
  <si>
    <t xml:space="preserve">https://app.clickup.com/t/86b3uyt9k</t>
  </si>
  <si>
    <t xml:space="preserve">Limpiar registros siempre que se refresque un reporte y antes del balanceo</t>
  </si>
  <si>
    <t xml:space="preserve">https://app.clickup.com/t/86b3uyt2v</t>
  </si>
  <si>
    <t xml:space="preserve">Configuración de Subdominio escalafon.dejusticia.org</t>
  </si>
  <si>
    <t xml:space="preserve">https://app.clickup.com/t/86b3v2z2m</t>
  </si>
  <si>
    <t xml:space="preserve">Solicitud de acceso al módulo de estadísticas para Carlos Torres</t>
  </si>
  <si>
    <t xml:space="preserve">https://app.clickup.com/t/86b3vhmz7</t>
  </si>
  <si>
    <t xml:space="preserve">Booking form issues</t>
  </si>
  <si>
    <t xml:space="preserve">https://app.clickup.com/t/86b3vg52e</t>
  </si>
  <si>
    <t xml:space="preserve">Bug: Blog Tag Redirect Issue</t>
  </si>
  <si>
    <t xml:space="preserve">https://app.clickup.com/t/86b3vpyvu</t>
  </si>
  <si>
    <t xml:space="preserve">Problemas de Acceso VPN - Diana Cardenas</t>
  </si>
  <si>
    <t xml:space="preserve">https://app.clickup.com/t/86b3vn8mw</t>
  </si>
  <si>
    <t xml:space="preserve">Problemas de acceso a la VPN: Laura Ortiz</t>
  </si>
  <si>
    <t xml:space="preserve">https://app.clickup.com/t/86b3vk7hz</t>
  </si>
  <si>
    <t xml:space="preserve">Bug ingreso de muestras sin análisis contratados</t>
  </si>
  <si>
    <t xml:space="preserve">https://app.clickup.com/t/86b3vm774</t>
  </si>
  <si>
    <t xml:space="preserve">Bug Corregir visual campo de notas</t>
  </si>
  <si>
    <t xml:space="preserve">https://app.clickup.com/t/86b3vm33e</t>
  </si>
  <si>
    <t xml:space="preserve">Corrección de resultados en área de clientes – Gastronomía Italiana C1396-1 y A1604-1</t>
  </si>
  <si>
    <t xml:space="preserve">https://app.clickup.com/t/86b3wbtjv</t>
  </si>
  <si>
    <t xml:space="preserve">Crear cuentas corporativas: Sales Assistant</t>
  </si>
  <si>
    <t xml:space="preserve">https://app.clickup.com/t/86b3wpkdj</t>
  </si>
  <si>
    <t xml:space="preserve">Lentitud Aplicativo Horus</t>
  </si>
  <si>
    <t xml:space="preserve">https://app.clickup.com/t/86b3wr9rg</t>
  </si>
  <si>
    <t xml:space="preserve">Conexión Servidor CGUNO: Mayra Mosquera</t>
  </si>
  <si>
    <t xml:space="preserve">https://app.clickup.com/t/86b3x5uzq</t>
  </si>
  <si>
    <t xml:space="preserve">[BMS] Review and update the payment form</t>
  </si>
  <si>
    <t xml:space="preserve">Deploy to production</t>
  </si>
  <si>
    <t xml:space="preserve">https://app.clickup.com/t/86b3x9jmx</t>
  </si>
  <si>
    <t xml:space="preserve">Confirm use of dev@swapps.com for new Google Ads profile</t>
  </si>
  <si>
    <t xml:space="preserve">https://app.clickup.com/t/86b3xa3bm</t>
  </si>
  <si>
    <t xml:space="preserve">Provide admin access to Wiki of Zuckerman</t>
  </si>
  <si>
    <t xml:space="preserve">https://app.clickup.com/t/86b3xbe7u</t>
  </si>
  <si>
    <t xml:space="preserve">Excessive spam in the contact form on Facialart.com</t>
  </si>
  <si>
    <t xml:space="preserve">https://app.clickup.com/t/86b3xdnyf</t>
  </si>
  <si>
    <t xml:space="preserve">Error al aprobar muestras</t>
  </si>
  <si>
    <t xml:space="preserve">https://app.clickup.com/t/86b3xdu8g</t>
  </si>
  <si>
    <t xml:space="preserve">Solicitud Eliminar Operación Horus</t>
  </si>
  <si>
    <t xml:space="preserve">https://app.clickup.com/t/86b3xkmtv</t>
  </si>
  <si>
    <t xml:space="preserve">Registration forms not received, only submission notifications</t>
  </si>
  <si>
    <t xml:space="preserve">https://app.clickup.com/t/86b3y9yhk</t>
  </si>
  <si>
    <t xml:space="preserve">Jesus Mosquera sin Acceso a Carpetas Planos Servidor</t>
  </si>
  <si>
    <t xml:space="preserve">https://app.clickup.com/t/86b3yuq9r</t>
  </si>
  <si>
    <t xml:space="preserve">Provide email for GitLab access</t>
  </si>
  <si>
    <t xml:space="preserve">https://app.clickup.com/t/86b3yujtc</t>
  </si>
  <si>
    <t xml:space="preserve">Assist with 2FA activations</t>
  </si>
  <si>
    <t xml:space="preserve">https://app.clickup.com/t/86b3yv6t1</t>
  </si>
  <si>
    <t xml:space="preserve">https://app.clickup.com/t/86b3z83gh</t>
  </si>
  <si>
    <t xml:space="preserve">Validación de acceso a wp@swapps.io</t>
  </si>
  <si>
    <t xml:space="preserve">https://app.clickup.com/t/86b3zcauf</t>
  </si>
  <si>
    <t xml:space="preserve">Issue capturing savings after changing merchant codes</t>
  </si>
  <si>
    <t xml:space="preserve">https://app.clickup.com/t/86b3zg1ag</t>
  </si>
  <si>
    <t xml:space="preserve">IMC</t>
  </si>
  <si>
    <t xml:space="preserve">Issue with the Registration Form on the Website</t>
  </si>
  <si>
    <t xml:space="preserve">https://app.clickup.com/t/86b3zftgn</t>
  </si>
  <si>
    <t xml:space="preserve">[IDK] Correr Balanceos Febrero</t>
  </si>
  <si>
    <t xml:space="preserve">Open</t>
  </si>
  <si>
    <t xml:space="preserve">https://app.clickup.com/t/86b3zghuq</t>
  </si>
  <si>
    <t xml:space="preserve">[ IT ] Tareas recurrentes de mantenimiento cobro a clientes</t>
  </si>
  <si>
    <t xml:space="preserve">https://app.clickup.com/t/86b3zez8p</t>
  </si>
  <si>
    <t xml:space="preserve">ERROR EN EL HORUS INFORMES 2025</t>
  </si>
  <si>
    <t xml:space="preserve">https://app.clickup.com/t/86b3zv9ev</t>
  </si>
  <si>
    <t xml:space="preserve">Crear cuentas corporativas: Técnico soporte nivel 1</t>
  </si>
  <si>
    <t xml:space="preserve">https://app.clickup.com/t/86b401bz5</t>
  </si>
  <si>
    <t xml:space="preserve">[IT] Create document inventory where we can see all the services used by our clients/projects</t>
  </si>
  <si>
    <t xml:space="preserve">https://app.clickup.com/t/86b3zy737</t>
  </si>
  <si>
    <t xml:space="preserve">[Support Ncarb]Bug: Dropdown Tags Not Working</t>
  </si>
  <si>
    <t xml:space="preserve">https://app.clickup.com/t/86b40109w</t>
  </si>
  <si>
    <t xml:space="preserve">Revisión y ajuste de conexión a la API de Dropbox en Faktur</t>
  </si>
  <si>
    <t xml:space="preserve">https://app.clickup.com/t/86b3zyha1</t>
  </si>
  <si>
    <t xml:space="preserve">Resolve Mailgun account issue</t>
  </si>
  <si>
    <t xml:space="preserve">https://app.clickup.com/t/86b3zvwhy</t>
  </si>
  <si>
    <t xml:space="preserve">Conexión por cable de red Computador Jorge Muñoz</t>
  </si>
  <si>
    <t xml:space="preserve">https://app.clickup.com/t/86b40d55q</t>
  </si>
  <si>
    <t xml:space="preserve">Review Argo for downtime issues</t>
  </si>
  <si>
    <t xml:space="preserve">https://app.clickup.com/t/86b40hn2q</t>
  </si>
  <si>
    <t xml:space="preserve">Provide Mailgun verification code</t>
  </si>
  <si>
    <t xml:space="preserve">https://app.clickup.com/t/86b40hnfp</t>
  </si>
  <si>
    <t xml:space="preserve">[IDK] Boton Refrescar demora y no actualiza informe</t>
  </si>
  <si>
    <t xml:space="preserve">https://app.clickup.com/t/86b40xdze</t>
  </si>
  <si>
    <t xml:space="preserve">Provide access to Zuckermanlaw admin in LastPass</t>
  </si>
  <si>
    <t xml:space="preserve">https://app.clickup.com/t/86b40zdcp</t>
  </si>
  <si>
    <t xml:space="preserve">Eliminar factura FE11803</t>
  </si>
  <si>
    <t xml:space="preserve">https://app.clickup.com/t/86b412a97</t>
  </si>
  <si>
    <t xml:space="preserve">https://app.clickup.com/t/86b412e69</t>
  </si>
  <si>
    <t xml:space="preserve">Actualización HORUS: Factura BGTA1183</t>
  </si>
  <si>
    <t xml:space="preserve">https://app.clickup.com/t/86b41pwu4</t>
  </si>
  <si>
    <t xml:space="preserve">ERROR EN MODULO FACTURACION</t>
  </si>
  <si>
    <t xml:space="preserve">https://app.clickup.com/t/86b41r9a9</t>
  </si>
  <si>
    <t xml:space="preserve">Crear cuentas corporativas: Asistente administrativa</t>
  </si>
  <si>
    <t xml:space="preserve">https://app.clickup.com/t/86b427jea</t>
  </si>
  <si>
    <t xml:space="preserve">Validate and confirm ncarb.org SMTP service</t>
  </si>
  <si>
    <t xml:space="preserve">Approved</t>
  </si>
  <si>
    <t xml:space="preserve">https://app.clickup.com/t/86b4272xe</t>
  </si>
  <si>
    <t xml:space="preserve">Validate and confirm exchangenetwork.net SMTP service</t>
  </si>
  <si>
    <t xml:space="preserve">https://app.clickup.com/t/86b42731p</t>
  </si>
  <si>
    <t xml:space="preserve">[Kubernetes] .env not found</t>
  </si>
  <si>
    <t xml:space="preserve">https://app.clickup.com/t/86b42e920</t>
  </si>
  <si>
    <t xml:space="preserve">Provide Loom.com access credentials to Deisy</t>
  </si>
  <si>
    <t xml:space="preserve">https://app.clickup.com/t/86b428pkt</t>
  </si>
  <si>
    <t xml:space="preserve">Help create onboarding for Johan</t>
  </si>
  <si>
    <t xml:space="preserve">https://app.clickup.com/t/86b428wve</t>
  </si>
  <si>
    <t xml:space="preserve">Help Johan with repo access</t>
  </si>
  <si>
    <t xml:space="preserve">https://app.clickup.com/t/86b42gnr0</t>
  </si>
  <si>
    <t xml:space="preserve">Problemas con Correo Electrónico - URGENTE</t>
  </si>
  <si>
    <t xml:space="preserve">https://app.clickup.com/t/86b42rf5q</t>
  </si>
  <si>
    <t xml:space="preserve">Geosig</t>
  </si>
  <si>
    <t xml:space="preserve">Error en el home de geosigingenieria.com</t>
  </si>
  <si>
    <t xml:space="preserve">https://app.clickup.com/t/454056/SLA-1241</t>
  </si>
  <si>
    <t xml:space="preserve">Provide access to GEOSIG INGENIERÍA repository and backups</t>
  </si>
  <si>
    <t xml:space="preserve">https://app.clickup.com/t/86b42xdhe</t>
  </si>
  <si>
    <t xml:space="preserve">[Support FADF] Excessive spam in the contact form on Dentalforum</t>
  </si>
  <si>
    <t xml:space="preserve">https://app.clickup.com/t/86b43aj8j</t>
  </si>
  <si>
    <t xml:space="preserve">https://app.clickup.com/t/86b43677q</t>
  </si>
  <si>
    <t xml:space="preserve">Solicitud Asignación Numeración a Facturas Generadas</t>
  </si>
  <si>
    <t xml:space="preserve">https://app.clickup.com/t/86b4377xq</t>
  </si>
  <si>
    <t xml:space="preserve">Solicitud Eliminar Operaciones Horus</t>
  </si>
  <si>
    <t xml:space="preserve">Under review</t>
  </si>
  <si>
    <t xml:space="preserve">https://app.clickup.com/t/86b43779f</t>
  </si>
  <si>
    <t xml:space="preserve">INFORMACION FACTURAS GENERADAS -  TRANSMITIDAS Y AUN APARECEN DEL 27 DE FEBRERO</t>
  </si>
  <si>
    <t xml:space="preserve">https://app.clickup.com/t/86b43nkg4</t>
  </si>
  <si>
    <t xml:space="preserve">Update plugin to version 1.36.1</t>
  </si>
  <si>
    <t xml:space="preserve">https://app.clickup.com/t/86b43n6df</t>
  </si>
  <si>
    <t xml:space="preserve">Mes</t>
  </si>
  <si>
    <t xml:space="preserve">Sprint</t>
  </si>
  <si>
    <t xml:space="preserve">Total de Horas</t>
  </si>
  <si>
    <t xml:space="preserve">Total Tickets</t>
  </si>
  <si>
    <t xml:space="preserve">Promedio por Ticket</t>
  </si>
  <si>
    <t xml:space="preserve">Fecha</t>
  </si>
  <si>
    <t xml:space="preserve">Clientes con mas solicitudes</t>
  </si>
  <si>
    <t xml:space="preserve">Enero</t>
  </si>
  <si>
    <t xml:space="preserve">2 de enero al 17 de enero 2025</t>
  </si>
  <si>
    <t xml:space="preserve">Comfinagro (6)
Ncarb (7)</t>
  </si>
  <si>
    <t xml:space="preserve">20 de enero al 31 de enero 2025</t>
  </si>
  <si>
    <t xml:space="preserve">Comfinagro (10)</t>
  </si>
  <si>
    <t xml:space="preserve">Febrero</t>
  </si>
  <si>
    <t xml:space="preserve">03 de febrero al 13 de febrero 2025</t>
  </si>
  <si>
    <t xml:space="preserve">Comfinagro (5)
Nulab (5)</t>
  </si>
  <si>
    <t xml:space="preserve">17 de febrero al 28 de febrero 2025</t>
  </si>
  <si>
    <t xml:space="preserve">Cada cliente tuvo de 1 ticket </t>
  </si>
  <si>
    <t xml:space="preserve">Marzo</t>
  </si>
  <si>
    <t xml:space="preserve">03 de marzo al 13 de marzo 2025</t>
  </si>
  <si>
    <t xml:space="preserve">17 de marzo al 28 de marzo 2025</t>
  </si>
  <si>
    <t xml:space="preserve">Comfinagro (7)
Ncarb (7)</t>
  </si>
  <si>
    <t xml:space="preserve">Abril</t>
  </si>
  <si>
    <t xml:space="preserve">31 de marzo al 11 de abril 2025</t>
  </si>
  <si>
    <t xml:space="preserve">Comfinagro (7)
Ncarb (6)</t>
  </si>
  <si>
    <t xml:space="preserve">14 de abril al 25 de abril 2025</t>
  </si>
  <si>
    <t xml:space="preserve">Comfinagro (7)
Dejusticia (3)
Nulab (3)</t>
  </si>
  <si>
    <t xml:space="preserve">Mayo</t>
  </si>
  <si>
    <t xml:space="preserve">27 de abril al 09 de mayo 2025</t>
  </si>
  <si>
    <t xml:space="preserve">Comfinagro (15)
Nulab (3)</t>
  </si>
  <si>
    <t xml:space="preserve">11 de mayo al 25 de mayo</t>
  </si>
  <si>
    <t xml:space="preserve">Comfinagro (9)</t>
  </si>
  <si>
    <t xml:space="preserve">Mayo/Junio</t>
  </si>
  <si>
    <t xml:space="preserve">25 de mayo al 08 de junio</t>
  </si>
  <si>
    <t xml:space="preserve">Comfinagro (7) 
Facialart (3)</t>
  </si>
  <si>
    <t xml:space="preserve">Junio </t>
  </si>
  <si>
    <t xml:space="preserve">08 de junio al 22 de junio</t>
  </si>
  <si>
    <t xml:space="preserve">Comfinagro (8)
Faktur (3)</t>
  </si>
  <si>
    <t xml:space="preserve">Junio/julio</t>
  </si>
  <si>
    <t xml:space="preserve">22 de junio al 06 de julio</t>
  </si>
  <si>
    <t xml:space="preserve">Comfinagro (13)
Dejusticia (3)</t>
  </si>
  <si>
    <t xml:space="preserve">Julio</t>
  </si>
  <si>
    <t xml:space="preserve">06 de julio al 20 de julio</t>
  </si>
  <si>
    <t xml:space="preserve">Comfinagro (10)
Ncarb (5)</t>
  </si>
  <si>
    <t xml:space="preserve">Julio/Agosto</t>
  </si>
  <si>
    <t xml:space="preserve">20 de julio al 03 de agosto</t>
  </si>
  <si>
    <t xml:space="preserve">Comfinagro (8)</t>
  </si>
  <si>
    <t xml:space="preserve">Agosto</t>
  </si>
  <si>
    <t xml:space="preserve">04 de agosto al 17 de agosto</t>
  </si>
  <si>
    <t xml:space="preserve">Comfinagro (17)
Dejusticia (7)</t>
  </si>
  <si>
    <t xml:space="preserve">18 de agosto al 31 de agosto</t>
  </si>
  <si>
    <t xml:space="preserve">Comfinagro (8)
Dejusticia (3)</t>
  </si>
  <si>
    <t xml:space="preserve">Septiembre</t>
  </si>
  <si>
    <t xml:space="preserve">01 de sep al 14 de sep</t>
  </si>
  <si>
    <t xml:space="preserve">Comfinagro (3)
Dejusticia (2)</t>
  </si>
  <si>
    <t xml:space="preserve">15 de sep al 28 de sep</t>
  </si>
  <si>
    <t xml:space="preserve">Dejusticia (4)
Nulab (2)</t>
  </si>
  <si>
    <t xml:space="preserve">Sep/Oct</t>
  </si>
  <si>
    <t xml:space="preserve">29 de sep al 12 de oct</t>
  </si>
  <si>
    <t xml:space="preserve">Dejusticia (6)
Ncarb (3)</t>
  </si>
  <si>
    <t xml:space="preserve">Octubre</t>
  </si>
  <si>
    <t xml:space="preserve">13 de oct al 26 de oct</t>
  </si>
  <si>
    <t xml:space="preserve">Oct/Nov</t>
  </si>
  <si>
    <t xml:space="preserve">27 de oct al 9 de nov</t>
  </si>
  <si>
    <t xml:space="preserve">Dejusticia (5)
Analizar y Lombana (3)</t>
  </si>
  <si>
    <t xml:space="preserve">Noviembre</t>
  </si>
  <si>
    <t xml:space="preserve">10 Nov al 23 de Nov</t>
  </si>
  <si>
    <t xml:space="preserve">Cada cliente estuvo entre 1 a 2 tickets</t>
  </si>
  <si>
    <t xml:space="preserve">Falla al momento de facturar a H&amp;M</t>
  </si>
  <si>
    <t xml:space="preserve">Johan</t>
  </si>
  <si>
    <t xml:space="preserve">https://app.clickup.com/t/86b44hejw</t>
  </si>
  <si>
    <t xml:space="preserve">Oficina Cali - Sin acceso a Internet</t>
  </si>
  <si>
    <t xml:space="preserve">https://app.clickup.com/t/86b44h0p8</t>
  </si>
  <si>
    <t xml:space="preserve">Falla Correo Diana Cardenas</t>
  </si>
  <si>
    <t xml:space="preserve">https://app.clickup.com/t/86b44h79f</t>
  </si>
  <si>
    <t xml:space="preserve">Create post Los Angeles Book Review Los Angeles Book Review</t>
  </si>
  <si>
    <t xml:space="preserve">https://app.clickup.com/t/86b44jrj0</t>
  </si>
  <si>
    <t xml:space="preserve">FACTURAS GENERADAS -  TRANSMITIDAS Y AUN APARECEN DIAS 18 Y 24 DE FEBRERO</t>
  </si>
  <si>
    <t xml:space="preserve">https://app.clickup.com/t/86b44mqhj</t>
  </si>
  <si>
    <t xml:space="preserve">Update the email in Inspinia -  Multipurpose Admin Dashboard Template</t>
  </si>
  <si>
    <t xml:space="preserve">https://app.clickup.com/t/86b44nhg6</t>
  </si>
  <si>
    <t xml:space="preserve">[Support FADF] Course Purchase Flow Not Working Correctly</t>
  </si>
  <si>
    <t xml:space="preserve">https://app.clickup.com/t/86b452d97</t>
  </si>
  <si>
    <t xml:space="preserve">[Support FA] Excessive spam in the contact form on FacialArt.com</t>
  </si>
  <si>
    <t xml:space="preserve">https://app.clickup.com/t/86b452p32</t>
  </si>
  <si>
    <t xml:space="preserve">[Support wlwilson] Broken Link in Interviews and Media Section</t>
  </si>
  <si>
    <t xml:space="preserve">https://app.clickup.com/t/86b452yhx</t>
  </si>
  <si>
    <t xml:space="preserve">[Wayne] Adjust Email sent from Contact page Wayne Wilson</t>
  </si>
  <si>
    <t xml:space="preserve">https://app.clickup.com/t/86b44d6cj</t>
  </si>
  <si>
    <t xml:space="preserve">Encontrar, documentar e incorporar email worker desarrollado por Swapps</t>
  </si>
  <si>
    <t xml:space="preserve">https://app.clickup.com/t/86b453ezq</t>
  </si>
  <si>
    <t xml:space="preserve">Configurar cuenta de Front</t>
  </si>
  <si>
    <t xml:space="preserve">https://app.clickup.com/t/86b45f9dr</t>
  </si>
  <si>
    <t xml:space="preserve">Levantar Webhook de ClickUp</t>
  </si>
  <si>
    <t xml:space="preserve">https://app.clickup.com/t/86b45hr7c</t>
  </si>
  <si>
    <t xml:space="preserve">Actualización Tabla - Solicitud Creación Subyacentes</t>
  </si>
  <si>
    <t xml:space="preserve">https://app.clickup.com/t/86b45kmub</t>
  </si>
  <si>
    <t xml:space="preserve">Create ticket for Mailgun access issue</t>
  </si>
  <si>
    <t xml:space="preserve">https://app.clickup.com/t/86b46134n</t>
  </si>
  <si>
    <t xml:space="preserve">Assist Diego Gómez with Mailgun access</t>
  </si>
  <si>
    <t xml:space="preserve">https://app.clickup.com/t/86b4614xr</t>
  </si>
  <si>
    <t xml:space="preserve">Assist with the pipeDrive file</t>
  </si>
  <si>
    <t xml:space="preserve">https://app.clickup.com/t/86b461xyu</t>
  </si>
  <si>
    <t xml:space="preserve">Asignación de Johan como observador en tickets de soporte</t>
  </si>
  <si>
    <t xml:space="preserve">https://app.clickup.com/t/86b462mpz</t>
  </si>
  <si>
    <t xml:space="preserve">Invite Deisy to Exchange Network search console</t>
  </si>
  <si>
    <t xml:space="preserve">https://app.clickup.com/t/86b465xmt</t>
  </si>
  <si>
    <t xml:space="preserve">[Wayne] Add "Pueblo" Book to the Website in section books</t>
  </si>
  <si>
    <t xml:space="preserve">https://app.clickup.com/t/86b478r6v</t>
  </si>
  <si>
    <t xml:space="preserve">Solicitud Retirar Operación 75042559 por Facturar</t>
  </si>
  <si>
    <t xml:space="preserve">https://app.clickup.com/t/86b46jvqg</t>
  </si>
  <si>
    <t xml:space="preserve">[Support Faktur] Operaciones encoladas</t>
  </si>
  <si>
    <t xml:space="preserve">https://app.clickup.com/t/86b46nkr5</t>
  </si>
  <si>
    <t xml:space="preserve">Licensing Requirements Tool: Change Category Name</t>
  </si>
  <si>
    <t xml:space="preserve">https://app.clickup.com/t/86b46ptpx</t>
  </si>
  <si>
    <t xml:space="preserve">Accessibility Task Follow Ups</t>
  </si>
  <si>
    <t xml:space="preserve">--</t>
  </si>
  <si>
    <t xml:space="preserve">https://app.clickup.com/t/86b46prnf</t>
  </si>
  <si>
    <t xml:space="preserve">Enhancement: Updated Lightbox</t>
  </si>
  <si>
    <t xml:space="preserve">https://app.clickup.com/t/86b46pu06</t>
  </si>
  <si>
    <t xml:space="preserve">Fixing Unresolved Accessibility Issues</t>
  </si>
  <si>
    <t xml:space="preserve">https://app.clickup.com/t/86b47burm</t>
  </si>
  <si>
    <t xml:space="preserve">Fixing Partially Resolved Accessibility Issues</t>
  </si>
  <si>
    <t xml:space="preserve">https://app.clickup.com/t/86b47bvb6</t>
  </si>
  <si>
    <t xml:space="preserve">Investigation and Log Review of Incident</t>
  </si>
  <si>
    <t xml:space="preserve">https://app.clickup.com/t/86b48b7ud</t>
  </si>
  <si>
    <t xml:space="preserve">Falla al transimitr factura</t>
  </si>
  <si>
    <t xml:space="preserve">https://app.clickup.com/t/86b48kw88</t>
  </si>
  <si>
    <t xml:space="preserve">Esconder y/o traducir: "Selecciona una opción de actualización"</t>
  </si>
  <si>
    <t xml:space="preserve">https://app.clickup.com/t/86b48r6nm</t>
  </si>
  <si>
    <t xml:space="preserve">https://app.clickup.com/t/86b49xyr9</t>
  </si>
  <si>
    <t xml:space="preserve">Site Down Alert</t>
  </si>
  <si>
    <t xml:space="preserve">https://app.clickup.com/t/86b4a1n93</t>
  </si>
  <si>
    <t xml:space="preserve">Review disabled ClickUp automation</t>
  </si>
  <si>
    <t xml:space="preserve">https://app.clickup.com/t/86b49v531</t>
  </si>
  <si>
    <t xml:space="preserve">[NCarb] AXP Portfolio</t>
  </si>
  <si>
    <t xml:space="preserve">https://app.clickup.com/t/86b49xtnj</t>
  </si>
  <si>
    <t xml:space="preserve">[NCarb] Mobile Home Screen</t>
  </si>
  <si>
    <t xml:space="preserve">https://app.clickup.com/t/86b49xty0</t>
  </si>
  <si>
    <t xml:space="preserve">[NCarb] Contact Us Page</t>
  </si>
  <si>
    <t xml:space="preserve">https://app.clickup.com/t/86b49xu75</t>
  </si>
  <si>
    <t xml:space="preserve">[NCarb] Licensing Requirements Tool (Mobile)</t>
  </si>
  <si>
    <t xml:space="preserve">https://app.clickup.com/t/86b49xuge</t>
  </si>
  <si>
    <t xml:space="preserve">[NCarb] Related Content</t>
  </si>
  <si>
    <t xml:space="preserve">https://app.clickup.com/t/86b49xup4</t>
  </si>
  <si>
    <t xml:space="preserve">[NCarb] Page Scroll - Submit Email Sign Up Form</t>
  </si>
  <si>
    <t xml:space="preserve">https://app.clickup.com/t/86b49yk3k</t>
  </si>
  <si>
    <t xml:space="preserve">https://app.clickup.com/t/86b4azkhe</t>
  </si>
  <si>
    <t xml:space="preserve">Fallas reportadas en correo - Daniel Pardo</t>
  </si>
  <si>
    <t xml:space="preserve">https://app.clickup.com/t/86b4b3pgg</t>
  </si>
  <si>
    <t xml:space="preserve">Actualización en HORUS Factura Bgta Manual</t>
  </si>
  <si>
    <t xml:space="preserve">https://app.clickup.com/t/86b4b4qr7</t>
  </si>
  <si>
    <t xml:space="preserve">https://app.clickup.com/t/86b4bcw8v</t>
  </si>
  <si>
    <t xml:space="preserve">[Comfinagro] Factura BGTA1220 transmitida no aparece en Factory</t>
  </si>
  <si>
    <t xml:space="preserve">https://app.clickup.com/t/86b4bf9fp</t>
  </si>
  <si>
    <t xml:space="preserve">Equipo lento y problemas de audio Yeni Rozo</t>
  </si>
  <si>
    <t xml:space="preserve">https://app.clickup.com/t/86b4bfy1z</t>
  </si>
  <si>
    <t xml:space="preserve">[Swapps]Solución permanente a páginas de servicios con links rotos (mantenimiento y equipos dedicados)</t>
  </si>
  <si>
    <t xml:space="preserve">https://app.clickup.com/t/86b4bc9md</t>
  </si>
  <si>
    <t xml:space="preserve">[Swapps]Sección de Swapps.com/blogs con diseño anterior</t>
  </si>
  <si>
    <t xml:space="preserve">https://app.clickup.com/t/86b4bgtnj</t>
  </si>
  <si>
    <t xml:space="preserve">Ncarb tasks are automatically created in sprint 3</t>
  </si>
  <si>
    <t xml:space="preserve">https://app.clickup.com/t/86b4byrfz</t>
  </si>
  <si>
    <t xml:space="preserve">Webhook balance on due date</t>
  </si>
  <si>
    <t xml:space="preserve">https://app.clickup.com/t/86b4ddqmy</t>
  </si>
  <si>
    <t xml:space="preserve">[FAKTUR] Revisión cargue de comprobantes desde el 19 de marzo</t>
  </si>
  <si>
    <t xml:space="preserve">https://app.clickup.com/t/86b4dh3f4</t>
  </si>
  <si>
    <t xml:space="preserve">Eliminación de Accesos y Recepción de Activos de operador</t>
  </si>
  <si>
    <t xml:space="preserve">https://app.clickup.com/t/86b4dp2pm</t>
  </si>
  <si>
    <t xml:space="preserve">Asignación de tiempos de balanceos en ClickUp</t>
  </si>
  <si>
    <t xml:space="preserve">https://app.clickup.com/t/86b4dwg89</t>
  </si>
  <si>
    <t xml:space="preserve">[Comfinagro] CLIENTES YA FACTURADOS MARZO 27</t>
  </si>
  <si>
    <t xml:space="preserve">https://app.clickup.com/t/86b4dyrb2</t>
  </si>
  <si>
    <t xml:space="preserve">Error al guardar modificaciones en análisis contratados</t>
  </si>
  <si>
    <t xml:space="preserve">https://app.clickup.com/t/86b4e0p9z</t>
  </si>
  <si>
    <t xml:space="preserve">[Comfinagro] Urgente - Error Consecutivo factura IBGE MARZO 27</t>
  </si>
  <si>
    <t xml:space="preserve">https://app.clickup.com/t/86b4ednwz</t>
  </si>
  <si>
    <t xml:space="preserve">[Nulab] Error en impresión de stickers en LIMS – CI Mipymes Frucode S.A.S</t>
  </si>
  <si>
    <t xml:space="preserve">https://app.clickup.com/t/86b4eektz</t>
  </si>
  <si>
    <t xml:space="preserve">[Comfinagro]Problema con la recepción de correos – Agrocom (Cliente de Comfinagro)</t>
  </si>
  <si>
    <t xml:space="preserve">https://app.clickup.com/t/86b4f567z</t>
  </si>
  <si>
    <t xml:space="preserve">[Zuckerman] Install Ahrefs Verification Script</t>
  </si>
  <si>
    <t xml:space="preserve">https://app.clickup.com/t/454056/ZL-1547</t>
  </si>
  <si>
    <t xml:space="preserve">[Ncab] Image Update on NCARB Homepage</t>
  </si>
  <si>
    <t xml:space="preserve">https://app.clickup.com/t/86b4f4ze6</t>
  </si>
  <si>
    <t xml:space="preserve">[Comfinagro] ANULACION REGISTROS EN HORUS</t>
  </si>
  <si>
    <t xml:space="preserve">https://app.clickup.com/t/86b4f5tw2</t>
  </si>
  <si>
    <t xml:space="preserve">[Ncarb]Lightbox - Image/Button Not Displayed</t>
  </si>
  <si>
    <t xml:space="preserve">https://app.clickup.com/t/86b4fbpak</t>
  </si>
  <si>
    <t xml:space="preserve">[Ncarb]LRT Bugs (Live)</t>
  </si>
  <si>
    <t xml:space="preserve">https://app.clickup.com/t/86b4fbpyg</t>
  </si>
  <si>
    <t xml:space="preserve">Remover accesos de operador certificado</t>
  </si>
  <si>
    <t xml:space="preserve">https://app.clickup.com/t/86b4frwuj</t>
  </si>
  <si>
    <t xml:space="preserve">Investigate ClickUp notification and automation issues</t>
  </si>
  <si>
    <t xml:space="preserve">https://app.clickup.com/t/86b4f6xac</t>
  </si>
  <si>
    <t xml:space="preserve">Contraseña Expirada Planos Abril 1</t>
  </si>
  <si>
    <t xml:space="preserve">https://app.clickup.com/t/86b4fph1k</t>
  </si>
  <si>
    <t xml:space="preserve">Creación de reglas de redirección de correos para Operadores Certificados</t>
  </si>
  <si>
    <t xml:space="preserve">https://app.clickup.com/t/86b4ftmq4</t>
  </si>
  <si>
    <t xml:space="preserve">Dejar configurado insightful para todo el equipo</t>
  </si>
  <si>
    <t xml:space="preserve">https://app.clickup.com/t/86b4fnweq</t>
  </si>
  <si>
    <t xml:space="preserve">https://app.clickup.com/t/86b4fxre9</t>
  </si>
  <si>
    <t xml:space="preserve">Provide Mateo access to Cloudflare for cache clearing</t>
  </si>
  <si>
    <t xml:space="preserve">https://app.clickup.com/t/86b4gefgy</t>
  </si>
  <si>
    <t xml:space="preserve">Falla correo Santiago Escobar</t>
  </si>
  <si>
    <t xml:space="preserve">https://app.clickup.com/t/86b4gu6cv</t>
  </si>
  <si>
    <t xml:space="preserve">Grant Alejandra access to GA4 for Ncarb</t>
  </si>
  <si>
    <t xml:space="preserve">https://app.clickup.com/t/86b4gtdtg</t>
  </si>
  <si>
    <t xml:space="preserve">[IT] Provide Mailgun confirmation code to Mateo</t>
  </si>
  <si>
    <t xml:space="preserve">https://app.clickup.com/t/86b4hcznk</t>
  </si>
  <si>
    <t xml:space="preserve">Assist Deisy with the requested comment</t>
  </si>
  <si>
    <t xml:space="preserve">https://app.clickup.com/t/86b4hd5gw</t>
  </si>
  <si>
    <t xml:space="preserve">[Ncarb] Update and optimize JS Unit tests</t>
  </si>
  <si>
    <t xml:space="preserve">https://app.clickup.com/t/86b4hn2hg</t>
  </si>
  <si>
    <t xml:space="preserve">Happycinamon</t>
  </si>
  <si>
    <t xml:space="preserve">[Happycinnamon] Unable to Add New Plugin and Email Change Not Reflected</t>
  </si>
  <si>
    <t xml:space="preserve">https://app.clickup.com/t/454056/SLA-1344</t>
  </si>
  <si>
    <t xml:space="preserve">[Ncarb]Licensing Requirements Tool Loading Issue</t>
  </si>
  <si>
    <t xml:space="preserve">https://app.clickup.com/t/86b4j2x59</t>
  </si>
  <si>
    <t xml:space="preserve">[Ncarb] Delete LAS Agenda File</t>
  </si>
  <si>
    <t xml:space="preserve">https://app.clickup.com/t/86b4j2yhp</t>
  </si>
  <si>
    <t xml:space="preserve">[IT] Provide admin access to HappyCinnamon and ZuckermanLaw panels</t>
  </si>
  <si>
    <t xml:space="preserve">https://app.clickup.com/t/86b4j4zr3</t>
  </si>
  <si>
    <t xml:space="preserve">[Comfinagro] Internet lento oficina Cali</t>
  </si>
  <si>
    <t xml:space="preserve">https://app.clickup.com/t/86b4jnbqm</t>
  </si>
  <si>
    <t xml:space="preserve">Actualización Regla de reenvío Outlook @leo</t>
  </si>
  <si>
    <t xml:space="preserve">https://app.clickup.com/t/86b4jq22q</t>
  </si>
  <si>
    <t xml:space="preserve">Solicitud de apoyo con configuración de Correo - Oscar Herrera</t>
  </si>
  <si>
    <t xml:space="preserve">https://app.clickup.com/t/86b4k61m5</t>
  </si>
  <si>
    <t xml:space="preserve">Falla error consecutivo facturas IBGE Abril 9</t>
  </si>
  <si>
    <t xml:space="preserve">https://app.clickup.com/t/86b4k6h7r</t>
  </si>
  <si>
    <t xml:space="preserve">Anulación de factura BGTA1234</t>
  </si>
  <si>
    <t xml:space="preserve">https://app.clickup.com/t/86b4kkk76</t>
  </si>
  <si>
    <t xml:space="preserve">[IT]-Revisar y crear tickets para canal de TI &amp; Devops en Front</t>
  </si>
  <si>
    <t xml:space="preserve">https://app.clickup.com/t/86b4kkz67</t>
  </si>
  <si>
    <t xml:space="preserve">Fix Github Integration with ClickUp help</t>
  </si>
  <si>
    <t xml:space="preserve">https://app.clickup.com/t/86b4kkw3d</t>
  </si>
  <si>
    <t xml:space="preserve">Asignación de permisos para facturación manual en Horus Alejandra Panesso</t>
  </si>
  <si>
    <t xml:space="preserve">https://app.clickup.com/t/86b4knnr5</t>
  </si>
  <si>
    <t xml:space="preserve">[Comfinagro] CLIENTES YA FACTURADOS ABRIL 9</t>
  </si>
  <si>
    <t xml:space="preserve">https://app.clickup.com/t/86b4kr8bg</t>
  </si>
  <si>
    <t xml:space="preserve">[Comfinagro] CLIENTES YA FACTURADOS ABRIL 10</t>
  </si>
  <si>
    <t xml:space="preserve">https://app.clickup.com/t/86b4krcng</t>
  </si>
  <si>
    <t xml:space="preserve">Cambio de Correo electrónico</t>
  </si>
  <si>
    <t xml:space="preserve">https://app.clickup.com/t/86b4m8pkp</t>
  </si>
  <si>
    <t xml:space="preserve">[Support FADF] Access Issue for Online Course - Kenneth Cavallari</t>
  </si>
  <si>
    <t xml:space="preserve">https://app.clickup.com/t/86b4n2h5d</t>
  </si>
  <si>
    <t xml:space="preserve">Correo electrónico deshabilitado - URGENTE - CARLOS MAURICIO TORRES</t>
  </si>
  <si>
    <t xml:space="preserve">https://app.clickup.com/t/86b4nepym</t>
  </si>
  <si>
    <t xml:space="preserve">[Zuckerman] Inquiry on AI Crawler Access via robots.txt</t>
  </si>
  <si>
    <t xml:space="preserve">https://app.clickup.com/t/454056/ZL-1550</t>
  </si>
  <si>
    <t xml:space="preserve">Falla Correo electronico Lucy Rojas</t>
  </si>
  <si>
    <t xml:space="preserve">https://app.clickup.com/t/86b4ng15j</t>
  </si>
  <si>
    <t xml:space="preserve">Ingreso facturas Horus - Error en transmisión</t>
  </si>
  <si>
    <t xml:space="preserve">https://app.clickup.com/t/86b4npf8k</t>
  </si>
  <si>
    <t xml:space="preserve">[Comfinagro] Análisis de Requerimientos</t>
  </si>
  <si>
    <t xml:space="preserve">https://app.clickup.com/t/86b4nnzvr</t>
  </si>
  <si>
    <t xml:space="preserve">Remover accesos de operador certificado - Abril 15</t>
  </si>
  <si>
    <t xml:space="preserve">https://app.clickup.com/t/86b4nqwhw</t>
  </si>
  <si>
    <t xml:space="preserve">ANULACION OPERACION HORUS</t>
  </si>
  <si>
    <t xml:space="preserve">https://app.clickup.com/t/86b4ny2e3</t>
  </si>
  <si>
    <t xml:space="preserve">SOLICITUD INGRESO FACTURAS HORUS - ERROR EN TRANSMISIÓN</t>
  </si>
  <si>
    <t xml:space="preserve">https://app.clickup.com/t/86b4p5a86</t>
  </si>
  <si>
    <t xml:space="preserve">Error de conexión a VPN - Abril 21</t>
  </si>
  <si>
    <t xml:space="preserve">https://app.clickup.com/t/86b4qeg0z</t>
  </si>
  <si>
    <t xml:space="preserve">Licencia antivirus expirada</t>
  </si>
  <si>
    <t xml:space="preserve">https://app.clickup.com/t/86b4qeaa5</t>
  </si>
  <si>
    <t xml:space="preserve">Falla Correo Fernando Trujillo envios a Gmail</t>
  </si>
  <si>
    <t xml:space="preserve">https://app.clickup.com/t/86b4qgng4</t>
  </si>
  <si>
    <t xml:space="preserve">Falla Correo Diana Cardenas envios a Gmail</t>
  </si>
  <si>
    <t xml:space="preserve">https://app.clickup.com/t/86b4qjajm</t>
  </si>
  <si>
    <t xml:space="preserve">Apoyo con Pre validador de la DIAN</t>
  </si>
  <si>
    <t xml:space="preserve">[Nulab] Certificado de sitio expirado</t>
  </si>
  <si>
    <t xml:space="preserve">https://app.clickup.com/t/86b4qgdy3</t>
  </si>
  <si>
    <t xml:space="preserve">Acompañamiento en auditoria de Bolsa Mercantil</t>
  </si>
  <si>
    <t xml:space="preserve">https://app.clickup.com/t/86b4rca4p</t>
  </si>
  <si>
    <t xml:space="preserve">Apoyo en la instalación de Firma Digital - Certicamara para Contabilidad</t>
  </si>
  <si>
    <t xml:space="preserve">https://app.clickup.com/t/86b4rcuyt</t>
  </si>
  <si>
    <t xml:space="preserve">CLIENTES YA FACTURADOS HORUS - Abril 23</t>
  </si>
  <si>
    <t xml:space="preserve">https://app.clickup.com/t/86b4rd9rw</t>
  </si>
  <si>
    <t xml:space="preserve">Error en Consecutivo factura IBGE - Asignación Operaciones Abril 24</t>
  </si>
  <si>
    <t xml:space="preserve">https://app.clickup.com/t/86b4rtuac</t>
  </si>
  <si>
    <t xml:space="preserve">[Nulab] No permite ingresar unidades de peso en items</t>
  </si>
  <si>
    <t xml:space="preserve">https://app.clickup.com/t/86b4rtzr6</t>
  </si>
  <si>
    <t xml:space="preserve">[Nulab] Fallo al crear ordenes de trabajo</t>
  </si>
  <si>
    <t xml:space="preserve">https://app.clickup.com/t/86b4rtzwq</t>
  </si>
  <si>
    <t xml:space="preserve">Incluir información de Cronología en la sección de Política de Drogas</t>
  </si>
  <si>
    <t xml:space="preserve">https://app.clickup.com/t/86b4t210z</t>
  </si>
  <si>
    <t xml:space="preserve">Problema al reportar resultados cualitativos en el sistema</t>
  </si>
  <si>
    <t xml:space="preserve">https://app.clickup.com/t/86b4tbg1p</t>
  </si>
  <si>
    <t xml:space="preserve">Error en Consecutivo factura IBGE - Asignación Operaciones Abril 25</t>
  </si>
  <si>
    <t xml:space="preserve">https://app.clickup.com/t/86b4tbj8j</t>
  </si>
  <si>
    <t xml:space="preserve">Problema al buscar cliente con el filtro en el administrador</t>
  </si>
  <si>
    <t xml:space="preserve">https://app.clickup.com/t/86b4tek5d</t>
  </si>
  <si>
    <t xml:space="preserve">[Happycinnamon] Validate Site Videos on Mobile</t>
  </si>
  <si>
    <t xml:space="preserve">https://app.clickup.com/t/86b4u4u6j</t>
  </si>
  <si>
    <t xml:space="preserve">[IDK]Filtro sin prioridad no funciona en tareas</t>
  </si>
  <si>
    <t xml:space="preserve">https://app.clickup.com/t/86b4tn4d5</t>
  </si>
  <si>
    <t xml:space="preserve">[Happycinnamon] Migration from Staging to Production for the Site</t>
  </si>
  <si>
    <t xml:space="preserve">https://app.clickup.com/t/86b4ubcre</t>
  </si>
  <si>
    <t xml:space="preserve">[Comfinagro] Error en Consecutivo factura IBGE - Asignación Operaciones Abril 28</t>
  </si>
  <si>
    <t xml:space="preserve">https://app.clickup.com/t/86b4u63xb</t>
  </si>
  <si>
    <t xml:space="preserve">[Ncarb] More Document Redirects for ARE</t>
  </si>
  <si>
    <t xml:space="preserve">https://app.clickup.com/t/86b4u78yz</t>
  </si>
  <si>
    <t xml:space="preserve">[Ncarb]-Redirect to New ARE 5.0 Guidelines File</t>
  </si>
  <si>
    <t xml:space="preserve">https://app.clickup.com/t/86b4u2kga</t>
  </si>
  <si>
    <t xml:space="preserve">[IDK] Refactor Consolidated reports refresh button</t>
  </si>
  <si>
    <t xml:space="preserve">https://app.clickup.com/t/86b4u32cj</t>
  </si>
  <si>
    <t xml:space="preserve">[Ticket] Solicitud de creación de correo electrónico - Mario Ramón</t>
  </si>
  <si>
    <t xml:space="preserve">https://app.clickup.com/t/86b4uc2z6</t>
  </si>
  <si>
    <t xml:space="preserve">[Faktur] Operaciones encoladas - Abril 28</t>
  </si>
  <si>
    <t xml:space="preserve">https://app.clickup.com/t/86b4uw8q5</t>
  </si>
  <si>
    <t xml:space="preserve">Error consecutivo Factura IBGE4445 - Asignación operaciones Abril 29</t>
  </si>
  <si>
    <t xml:space="preserve">https://app.clickup.com/t/86b4uwz9q</t>
  </si>
  <si>
    <t xml:space="preserve">[Comfinagro] Cliente Sembrando Alg - Ya facturado</t>
  </si>
  <si>
    <t xml:space="preserve">https://app.clickup.com/t/86b4uwvym</t>
  </si>
  <si>
    <t xml:space="preserve">[IDK] Empty time entries</t>
  </si>
  <si>
    <t xml:space="preserve">https://app.clickup.com/t/86b4uy2an</t>
  </si>
  <si>
    <t xml:space="preserve">Bloqueo Diana Cardenas en pagina de THE FACTORY para descargar las facturas</t>
  </si>
  <si>
    <t xml:space="preserve">https://app.clickup.com/t/86b4v5rp6</t>
  </si>
  <si>
    <t xml:space="preserve">[Comfinagro] CLIENTES PENDIENTES POR FACTURAR Abril 30</t>
  </si>
  <si>
    <t xml:space="preserve">https://app.clickup.com/t/86b4vanx0</t>
  </si>
  <si>
    <t xml:space="preserve">[Comfinagro] Anular operación 77722274 de Horus</t>
  </si>
  <si>
    <t xml:space="preserve">https://app.clickup.com/t/86b4vanre</t>
  </si>
  <si>
    <t xml:space="preserve">[ExchangeNetwork] Issue with Green Button on Data Exchange Pages</t>
  </si>
  <si>
    <t xml:space="preserve">https://app.clickup.com/t/86b4v4j0b</t>
  </si>
  <si>
    <t xml:space="preserve">Validar y documentar build BMS</t>
  </si>
  <si>
    <t xml:space="preserve">https://app.clickup.com/t/86b4v31yj</t>
  </si>
  <si>
    <t xml:space="preserve">Today's time entries consistency</t>
  </si>
  <si>
    <t xml:space="preserve">https://app.clickup.com/t/86b4vnmkc</t>
  </si>
  <si>
    <t xml:space="preserve">Cotización </t>
  </si>
  <si>
    <t xml:space="preserve">[Faktur] Estimar implementación de pantalla emergente en Faktur Cloud</t>
  </si>
  <si>
    <t xml:space="preserve">https://app.clickup.com/t/86b4vt8y6</t>
  </si>
  <si>
    <t xml:space="preserve">[Comfinagro] CLIENTES YA FACTURADOS VICENTE - Mayo 2</t>
  </si>
  <si>
    <t xml:space="preserve">https://app.clickup.com/t/86b4w5e8c</t>
  </si>
  <si>
    <t xml:space="preserve">[Comfinagro] CLIENTES YA FACTURADOS FERNANDO - Mayo 2</t>
  </si>
  <si>
    <t xml:space="preserve">https://app.clickup.com/t/86b4w6v1q</t>
  </si>
  <si>
    <t xml:space="preserve">[Support FA] Issue with the Display of the Consent Clause in the Contact Form</t>
  </si>
  <si>
    <t xml:space="preserve">https://app.clickup.com/t/86b4wbewg</t>
  </si>
  <si>
    <t xml:space="preserve">[Comfinagro] CLIENTES YA FACTURADOS - Solicitud MAYO 6</t>
  </si>
  <si>
    <t xml:space="preserve">https://app.clickup.com/t/86b4xaf9x</t>
  </si>
  <si>
    <t xml:space="preserve">[Comfinagro] Habilitación Factura IBGE Mayo 2025</t>
  </si>
  <si>
    <t xml:space="preserve">https://app.clickup.com/t/86b4xacmp</t>
  </si>
  <si>
    <t xml:space="preserve">[Comfinagro] Operaciones aparecen como pendientes de facturar aunque ya fueron facturadas</t>
  </si>
  <si>
    <t xml:space="preserve">https://app.clickup.com/t/86b4xvmdn</t>
  </si>
  <si>
    <t xml:space="preserve">Novedades en Orden de Trabajo 17400 - Biotec Equinos Colombia SAS</t>
  </si>
  <si>
    <t xml:space="preserve">https://app.clickup.com/t/86b4xwng6</t>
  </si>
  <si>
    <t xml:space="preserve">Fix the delete button so it properly removes items</t>
  </si>
  <si>
    <t xml:space="preserve">https://app.clickup.com/t/454056/86b4y266g</t>
  </si>
  <si>
    <t xml:space="preserve">Fix the issue with the dropdown menu not displaying options correctly</t>
  </si>
  <si>
    <t xml:space="preserve">https://app.clickup.com/t/454056/86b4y27uq</t>
  </si>
  <si>
    <t xml:space="preserve">[Comfinagro] Clientes ya facturados - Mayo 8</t>
  </si>
  <si>
    <t xml:space="preserve">https://app.clickup.com/t/86b4yarbt</t>
  </si>
  <si>
    <t xml:space="preserve">[Dejusticia] Fallo al intentar publicar una nota con imagen</t>
  </si>
  <si>
    <t xml:space="preserve">https://app.clickup.com/t/86b4yb1rh</t>
  </si>
  <si>
    <t xml:space="preserve">[Comfinagro] Eliminar registro de cliente - Molinera San Felipe - NIT9018984510</t>
  </si>
  <si>
    <t xml:space="preserve">https://app.clickup.com/t/86b4yrh8v</t>
  </si>
  <si>
    <t xml:space="preserve">[Comfinagro] CLIENTES YA FACTURADOS - MAYO 9</t>
  </si>
  <si>
    <t xml:space="preserve">https://app.clickup.com/t/86b4yrkqb</t>
  </si>
  <si>
    <t xml:space="preserve">[Nulab] Novedad en orden de trabajo C2419 - Gradezco ltda</t>
  </si>
  <si>
    <t xml:space="preserve">https://app.clickup.com/t/86b4yfbgy</t>
  </si>
  <si>
    <t xml:space="preserve">[Nulab] Fallo en datos de reporte PDF</t>
  </si>
  <si>
    <t xml:space="preserve">https://app.clickup.com/t/86b4yv3cc</t>
  </si>
  <si>
    <t xml:space="preserve">[Nulab] No aparecen los analisis contratados - Gradezco Ltda</t>
  </si>
  <si>
    <t xml:space="preserve">https://app.clickup.com/t/86b4yv2cy</t>
  </si>
  <si>
    <t xml:space="preserve">Dar acceso Sonarqube a Carlos moreno</t>
  </si>
  <si>
    <t xml:space="preserve">https://app.clickup.com/t/86b4yvb56</t>
  </si>
  <si>
    <t xml:space="preserve">[Comfinagro] Clientes ya facturados - Mayo 9 Fernando Trujillo</t>
  </si>
  <si>
    <t xml:space="preserve">https://app.clickup.com/t/86b4yw3ru</t>
  </si>
  <si>
    <t xml:space="preserve">[Comfinagro] URGENTE - HORUS NO ESTÁ FUNCIONANDO</t>
  </si>
  <si>
    <t xml:space="preserve">https://app.clickup.com/t/86b4ze0rh</t>
  </si>
  <si>
    <t xml:space="preserve">[IT]Provide ssh verification code for deploycloud.io access</t>
  </si>
  <si>
    <t xml:space="preserve">https://app.clickup.com/t/86b4zg1tr</t>
  </si>
  <si>
    <t xml:space="preserve">[IT] Remove automatic qa assignment from tasks</t>
  </si>
  <si>
    <t xml:space="preserve">https://app.clickup.com/t/86b4zgp9t</t>
  </si>
  <si>
    <t xml:space="preserve">[IT] Add a general custom field named 'idk' for automations in clickup</t>
  </si>
  <si>
    <t xml:space="preserve">https://app.clickup.com/t/86b4zjhrr</t>
  </si>
  <si>
    <t xml:space="preserve">[Comfinagro] Ajuste de número de factura en clientes pendientes por facturación</t>
  </si>
  <si>
    <t xml:space="preserve">https://app.clickup.com/t/86b4zv787</t>
  </si>
  <si>
    <t xml:space="preserve">[IT] Renovar Formidable Forms</t>
  </si>
  <si>
    <t xml:space="preserve">https://app.clickup.com/t/86b4zu9yd</t>
  </si>
  <si>
    <t xml:space="preserve">[Faktur] Operaciones encoladas desde Mayo 7</t>
  </si>
  <si>
    <t xml:space="preserve">https://app.clickup.com/t/86b4zvt09</t>
  </si>
  <si>
    <t xml:space="preserve">[IT]Restore access to deploycloud server for ivan</t>
  </si>
  <si>
    <t xml:space="preserve">https://app.clickup.com/t/86b4zwbj8</t>
  </si>
  <si>
    <t xml:space="preserve">[Comfinagro] Cargar factura BGTA1272 a Horus</t>
  </si>
  <si>
    <t xml:space="preserve">https://app.clickup.com/t/86b50akje</t>
  </si>
  <si>
    <t xml:space="preserve">[IT] Review and modify automation to change test assignee</t>
  </si>
  <si>
    <t xml:space="preserve">https://app.clickup.com/t/86b50eqkj</t>
  </si>
  <si>
    <t xml:space="preserve">[IT]Schedule daily automatic posting of announcement at 8:15 a.m. on weekdays</t>
  </si>
  <si>
    <t xml:space="preserve">https://app.clickup.com/t/86b50g37m</t>
  </si>
  <si>
    <t xml:space="preserve">[Faktur] Incidente con cargue de PDFs en "Certificados pendientes"</t>
  </si>
  <si>
    <t xml:space="preserve">https://app.clickup.com/t/86b5101fp</t>
  </si>
  <si>
    <t xml:space="preserve">[IT] Provide access to facialart dentalforum repository</t>
  </si>
  <si>
    <t xml:space="preserve">https://app.clickup.com/t/86b50u2n8</t>
  </si>
  <si>
    <t xml:space="preserve">[Comfinagro] Operaciones ya facturadas - Mayo 15</t>
  </si>
  <si>
    <t xml:space="preserve">https://app.clickup.com/t/86b512d0a</t>
  </si>
  <si>
    <t xml:space="preserve">[Nulab] Problema al acceder al reporte comparativo – Plataforma Juan el Panadero</t>
  </si>
  <si>
    <t xml:space="preserve">https://app.clickup.com/t/86b51g2f7</t>
  </si>
  <si>
    <t xml:space="preserve">[NCARB] Switch Images on ncarb.org Homepage</t>
  </si>
  <si>
    <t xml:space="preserve">https://app.clickup.com/t/86b51yggb</t>
  </si>
  <si>
    <t xml:space="preserve">Whitelist facialart.com ip addresses for monitor on Cloudflare</t>
  </si>
  <si>
    <t xml:space="preserve">https://app.clickup.com/t/86b51y7xb</t>
  </si>
  <si>
    <t xml:space="preserve">Whitelist Uptimerobot IP addresses</t>
  </si>
  <si>
    <t xml:space="preserve">https://app.clickup.com/t/86b51y5q5</t>
  </si>
  <si>
    <t xml:space="preserve">Soluciones Cientificas</t>
  </si>
  <si>
    <t xml:space="preserve">[IT] Cesión de propiedad del servicio en Hosting Fácil a Soluciones Científicas</t>
  </si>
  <si>
    <t xml:space="preserve">https://app.clickup.com/t/86b522xxw</t>
  </si>
  <si>
    <t xml:space="preserve">[IT] Resolve access issue to deploycloud requiring verification code</t>
  </si>
  <si>
    <t xml:space="preserve">https://app.clickup.com/t/86b5242x2</t>
  </si>
  <si>
    <t xml:space="preserve">[Nulab] Cliente creado en LIMS no aparece al crear sucursal – Fundación Banco Nacional de Sangre Hemolife</t>
  </si>
  <si>
    <t xml:space="preserve">https://app.clickup.com/t/86b52547t</t>
  </si>
  <si>
    <t xml:space="preserve">Crear nueva regla de redireccionamiento a directoroperaciones@comfinagro.com.co</t>
  </si>
  <si>
    <t xml:space="preserve">https://app.clickup.com/t/86b525q5x</t>
  </si>
  <si>
    <t xml:space="preserve">Assign clickup permissions for tasks in 'implementacion ajustes rediseño 2' list</t>
  </si>
  <si>
    <t xml:space="preserve">https://app.clickup.com/t/86b52ag34</t>
  </si>
  <si>
    <t xml:space="preserve">[Comfinagro] CLIENTES YA FACTURADOS - Mayo 20</t>
  </si>
  <si>
    <t xml:space="preserve">https://app.clickup.com/t/86b52e7y5</t>
  </si>
  <si>
    <t xml:space="preserve">[Comfinagro] CLIENTES YA FACTURADOS - Mayo 21</t>
  </si>
  <si>
    <t xml:space="preserve">https://app.clickup.com/t/86b52v036</t>
  </si>
  <si>
    <t xml:space="preserve">[Comfinagro]Bot BMC POC instalación</t>
  </si>
  <si>
    <t xml:space="preserve">https://app.clickup.com/t/86b531r3h</t>
  </si>
  <si>
    <t xml:space="preserve">[Comfinagro] Anulación de operaciones - Mayo 22</t>
  </si>
  <si>
    <t xml:space="preserve">https://app.clickup.com/t/86b53948v</t>
  </si>
  <si>
    <t xml:space="preserve">Help carlos moreno with his request</t>
  </si>
  <si>
    <t xml:space="preserve">https://app.clickup.com/t/86b53c5uh</t>
  </si>
  <si>
    <t xml:space="preserve">[Comfinagro] Clientes ya facturados - Mayo 23</t>
  </si>
  <si>
    <t xml:space="preserve">https://app.clickup.com/t/86b53wf12</t>
  </si>
  <si>
    <t xml:space="preserve">Create a new interview schedule and zoom link for intern ai developer profile</t>
  </si>
  <si>
    <t xml:space="preserve">https://app.clickup.com/t/86b53vx13</t>
  </si>
  <si>
    <t xml:space="preserve">[Comfinagro] Error en Consecutivo factura IBGE - Asignación Operaciones Mayo 26</t>
  </si>
  <si>
    <t xml:space="preserve">https://app.clickup.com/t/86b54dgz8</t>
  </si>
  <si>
    <t xml:space="preserve">[Faktur] Archivos de “Certificados Pendientes” desaparecen sin asociarse a las facturas en Faktur Cloud</t>
  </si>
  <si>
    <t xml:space="preserve">https://app.clickup.com/t/86b54e306</t>
  </si>
  <si>
    <t xml:space="preserve">[IT] Create Front link for full stack php developer profile</t>
  </si>
  <si>
    <t xml:space="preserve">https://app.clickup.com/t/86b54e5c9</t>
  </si>
  <si>
    <t xml:space="preserve">[FA] Adjustments to the mobile interface</t>
  </si>
  <si>
    <t xml:space="preserve">https://app.clickup.com/t/86b54mpa4</t>
  </si>
  <si>
    <t xml:space="preserve">[IT] Resolve login issues for deploycloud access</t>
  </si>
  <si>
    <t xml:space="preserve">https://app.clickup.com/t/86b54mv25</t>
  </si>
  <si>
    <t xml:space="preserve">[Comfinagro]Problemas de carga de archivos y demora en Horus</t>
  </si>
  <si>
    <t xml:space="preserve">https://app.clickup.com/t/86b54rn13</t>
  </si>
  <si>
    <t xml:space="preserve">[FA] Unable to register — all submissions flagged as spam</t>
  </si>
  <si>
    <t xml:space="preserve">https://app.clickup.com/t/86b54ub2v</t>
  </si>
  <si>
    <t xml:space="preserve">[IT] Create frontapp link for ux developer</t>
  </si>
  <si>
    <t xml:space="preserve">https://app.clickup.com/t/86b54vyy3</t>
  </si>
  <si>
    <t xml:space="preserve">[Comfinagro] ANULACION DE OPERACION</t>
  </si>
  <si>
    <t xml:space="preserve">https://app.clickup.com/t/86b551pra</t>
  </si>
  <si>
    <t xml:space="preserve">[Comfinagro] Operaciones ya facturadas - Mayo 28</t>
  </si>
  <si>
    <t xml:space="preserve">https://app.clickup.com/t/86b553mx0</t>
  </si>
  <si>
    <t xml:space="preserve">Provide access to comfinagro-fenix github repository</t>
  </si>
  <si>
    <t xml:space="preserve">https://app.clickup.com/t/86b558r7b</t>
  </si>
  <si>
    <t xml:space="preserve">[Comfinagro] CLIENTES YA FACTURADOS - Mayo 29</t>
  </si>
  <si>
    <t xml:space="preserve">https://app.clickup.com/t/86b55hky2</t>
  </si>
  <si>
    <t xml:space="preserve">[IDK] Desaparición de Entradas de Tiempo de usuarios inactivos</t>
  </si>
  <si>
    <t xml:space="preserve">https://app.clickup.com/t/86b55htxa</t>
  </si>
  <si>
    <t xml:space="preserve">[Dejusticia] Exportar metadatos de Sección "Publicaciones de nuestros autores en otras editoriales"</t>
  </si>
  <si>
    <t xml:space="preserve">https://app.clickup.com/t/86b55q8ej</t>
  </si>
  <si>
    <t xml:space="preserve">[Ncarb] Bug: Licensing Requirements Tool Tabs</t>
  </si>
  <si>
    <t xml:space="preserve">https://app.clickup.com/t/86b568axm</t>
  </si>
  <si>
    <t xml:space="preserve">[Comfinagro] ANULACIÓN DE OPERACIÓN - 30 de mayo</t>
  </si>
  <si>
    <t xml:space="preserve">https://app.clickup.com/t/86b568ghz</t>
  </si>
  <si>
    <t xml:space="preserve">Fecha de solicitud</t>
  </si>
  <si>
    <t xml:space="preserve">[IMC] Issue with application for August retreat</t>
  </si>
  <si>
    <t xml:space="preserve">https://app.clickup.com/t/86b56t850</t>
  </si>
  <si>
    <t xml:space="preserve">[Comfinagro] Clientes ya Facturados - Junio 03</t>
  </si>
  <si>
    <t xml:space="preserve">https://app.clickup.com/t/86b5792j6</t>
  </si>
  <si>
    <t xml:space="preserve">Dar acceso a Johan al Github swappsdev</t>
  </si>
  <si>
    <t xml:space="preserve">https://app.clickup.com/t/86b57ftgq</t>
  </si>
  <si>
    <t xml:space="preserve">[Comfinagro] Clientes que aparecen pendientes por facturar y ya fueron facturados - Mayo 7 y Mayo 30</t>
  </si>
  <si>
    <t xml:space="preserve">https://app.clickup.com/t/86b588av0</t>
  </si>
  <si>
    <t xml:space="preserve">Create link for 'sesión de confirmación de interés'</t>
  </si>
  <si>
    <t xml:space="preserve">https://app.clickup.com/t/86b58j5q7</t>
  </si>
  <si>
    <t xml:space="preserve">[IT] Migrar eventos swapps a getswapps en calendly</t>
  </si>
  <si>
    <t xml:space="preserve">https://app.clickup.com/t/86b58ex69</t>
  </si>
  <si>
    <t xml:space="preserve">Restore ssh access to deploycloud server and resolve login issues</t>
  </si>
  <si>
    <t xml:space="preserve">https://app.clickup.com/t/86b58ebyc</t>
  </si>
  <si>
    <t xml:space="preserve">[IDK] Contratos con saldo inicial</t>
  </si>
  <si>
    <t xml:space="preserve">https://app.clickup.com/t/86b58e3w9</t>
  </si>
  <si>
    <t xml:space="preserve">Grant clickup folder permissions and github repository access for idash</t>
  </si>
  <si>
    <t xml:space="preserve">https://app.clickup.com/t/86b585fmr</t>
  </si>
  <si>
    <t xml:space="preserve">[IT] Grant repository access and enable time tracking permissions for mateo barrera</t>
  </si>
  <si>
    <t xml:space="preserve">https://app.clickup.com/t/86b59fpj3</t>
  </si>
  <si>
    <t xml:space="preserve">Production </t>
  </si>
  <si>
    <t xml:space="preserve">[FA] Release production - Adjustments to the mobile</t>
  </si>
  <si>
    <t xml:space="preserve">https://app.clickup.com/t/86b58vg9k</t>
  </si>
  <si>
    <t xml:space="preserve">[Comfinagro] CLIENTES YA FACTURADOS - Junio 10</t>
  </si>
  <si>
    <t xml:space="preserve">https://app.clickup.com/t/86b5a078d</t>
  </si>
  <si>
    <t xml:space="preserve">[Comfinagro] Cargar factura BGTA1288 transmitida en Factory a Horus</t>
  </si>
  <si>
    <t xml:space="preserve">https://app.clickup.com/t/86b5a27eg</t>
  </si>
  <si>
    <t xml:space="preserve">[Ncarb] Grainy Images on NCARB.org</t>
  </si>
  <si>
    <t xml:space="preserve">https://app.clickup.com/t/86b5ad4gh</t>
  </si>
  <si>
    <t xml:space="preserve">[IT] Provide access for veeva crm app installation on ipad</t>
  </si>
  <si>
    <t xml:space="preserve">https://app.clickup.com/t/86b5ak394</t>
  </si>
  <si>
    <t xml:space="preserve">[IT]Permisos para plataformas de trabajo</t>
  </si>
  <si>
    <t xml:space="preserve">https://app.clickup.com/t/454056/SLA-1552</t>
  </si>
  <si>
    <t xml:space="preserve">[clickup] dev, staging sandbox instance for workflows testing</t>
  </si>
  <si>
    <t xml:space="preserve">https://app.clickup.com/t/86b5awhv8</t>
  </si>
  <si>
    <t xml:space="preserve">Facturas enviadas por SIESA no aparecen almacenadas - cliente SOGA</t>
  </si>
  <si>
    <t xml:space="preserve">https://app.clickup.com/t/86b5b2ezk</t>
  </si>
  <si>
    <t xml:space="preserve">[Faktur] Error "OperationalError" en Sentry – Posible falta de espacio en servidor</t>
  </si>
  <si>
    <t xml:space="preserve">https://app.clickup.com/t/86b5be68y</t>
  </si>
  <si>
    <t xml:space="preserve">[Nulab] Inconsistencia al generar código tras ingreso de muestra</t>
  </si>
  <si>
    <t xml:space="preserve">https://app.clickup.com/t/86b5c822u</t>
  </si>
  <si>
    <t xml:space="preserve">[IT]Create Pipedrive Sandbox account</t>
  </si>
  <si>
    <t xml:space="preserve">https://app.clickup.com/t/86b5btn5b</t>
  </si>
  <si>
    <t xml:space="preserve">[IT] Dar permisos de edicion al documento iDash App Doc</t>
  </si>
  <si>
    <t xml:space="preserve">https://app.clickup.com/t/86b5cjmta</t>
  </si>
  <si>
    <t xml:space="preserve">[Comfinagro] CLIENTES YA FACTURADOS - Junio 18</t>
  </si>
  <si>
    <t xml:space="preserve">https://app.clickup.com/t/86b5d09de</t>
  </si>
  <si>
    <t xml:space="preserve">[FA] Missing Image Attachments in Refer-A-Patient Form</t>
  </si>
  <si>
    <t xml:space="preserve">https://app.clickup.com/t/86b5d10en</t>
  </si>
  <si>
    <t xml:space="preserve">[IT] Deliver equipment to collaborator</t>
  </si>
  <si>
    <t xml:space="preserve">https://app.clickup.com/t/86b5d1hu0</t>
  </si>
  <si>
    <t xml:space="preserve">[Comfinagro] Ingreso de facturas en HORUS por error en transmisión</t>
  </si>
  <si>
    <t xml:space="preserve">https://app.clickup.com/t/86b5d4wx3</t>
  </si>
  <si>
    <t xml:space="preserve">[Comfinagro] Error en Consecutivo factura IBGE - Asignación Operaciones Junio 18</t>
  </si>
  <si>
    <t xml:space="preserve">https://app.clickup.com/t/86b5da853</t>
  </si>
  <si>
    <t xml:space="preserve">[Comfinagro]CLIENTES YA FACTURADOS_Junio 19</t>
  </si>
  <si>
    <t xml:space="preserve">https://app.clickup.com/t/86b5dgbun</t>
  </si>
  <si>
    <t xml:space="preserve">[Faktur] PDFs no se asocian a las facturas – encolamiento del servidor</t>
  </si>
  <si>
    <t xml:space="preserve">https://app.clickup.com/t/86b5dgnez</t>
  </si>
  <si>
    <t xml:space="preserve">[IT] Create accounts for camilo molina ayarza</t>
  </si>
  <si>
    <t xml:space="preserve">https://app.clickup.com/t/86b5dg6ag</t>
  </si>
  <si>
    <t xml:space="preserve">[Comfinagro]ELIMINACIÓN DE OPERACIONES HORUS - INVERSIONES SOGA</t>
  </si>
  <si>
    <t xml:space="preserve">https://app.clickup.com/t/86b5dvng4</t>
  </si>
  <si>
    <t xml:space="preserve">[Comfinagro] CLIENTES YA FACTURADOS - Junio 20</t>
  </si>
  <si>
    <t xml:space="preserve">https://app.clickup.com/t/86b5dyh9b</t>
  </si>
  <si>
    <t xml:space="preserve">[Nulab] Cambio de firma en informes – Microbiología</t>
  </si>
  <si>
    <t xml:space="preserve">https://app.clickup.com/t/86b5e0t18</t>
  </si>
  <si>
    <t xml:space="preserve">[Comfinaro]b CLIENTES YA FACTURADOS - Junio 24</t>
  </si>
  <si>
    <t xml:space="preserve">https://app.clickup.com/t/86b5f0ye5</t>
  </si>
  <si>
    <t xml:space="preserve">[Comfinagro] Cargar factura 1308 transmitida manualmente en Factory a Horus </t>
  </si>
  <si>
    <t xml:space="preserve">https://app.clickup.com/t/86b5f1aem</t>
  </si>
  <si>
    <t xml:space="preserve">[Nulab] Eliminar reporte duplicado C798 del 11 de Junio</t>
  </si>
  <si>
    <t xml:space="preserve">https://app.clickup.com/t/86b5e2f6f</t>
  </si>
  <si>
    <t xml:space="preserve">[Dejusticia]Pruebas de transacciones boton de pagos</t>
  </si>
  <si>
    <t xml:space="preserve">https://app.clickup.com/t/86b5dz6t2</t>
  </si>
  <si>
    <t xml:space="preserve">Verify availability of epayco payment credentials for dejusticia inquiry</t>
  </si>
  <si>
    <t xml:space="preserve">https://app.clickup.com/t/86b5f4ugu</t>
  </si>
  <si>
    <t xml:space="preserve">[Comfinagro] CLIENTES YA FACTURADOS - Junio 25</t>
  </si>
  <si>
    <t xml:space="preserve">https://app.clickup.com/t/86b5fp77b</t>
  </si>
  <si>
    <t xml:space="preserve">[IT] Provide linkedin credentials for swapps account to send event communications</t>
  </si>
  <si>
    <t xml:space="preserve">https://app.clickup.com/t/86b5fu1k0</t>
  </si>
  <si>
    <t xml:space="preserve">[Comfinagro] CLIENTES YA FACTURADOS - Junio 26</t>
  </si>
  <si>
    <t xml:space="preserve">https://app.clickup.com/t/86b5g4m3b</t>
  </si>
  <si>
    <t xml:space="preserve">[Comfinagro] CLIENTES YA FACTURADOS (FTrujillo) - Junio 26</t>
  </si>
  <si>
    <t xml:space="preserve">https://app.clickup.com/t/86b5g64fw</t>
  </si>
  <si>
    <t xml:space="preserve">[IT] Confirm access to ncarb source code repository</t>
  </si>
  <si>
    <t xml:space="preserve">https://app.clickup.com/t/86b5g6b2c</t>
  </si>
  <si>
    <t xml:space="preserve">[Comfinagro] CLIENTES YA FACTURADOS - Junio 27</t>
  </si>
  <si>
    <t xml:space="preserve">https://app.clickup.com/t/86b5ggza1</t>
  </si>
  <si>
    <t xml:space="preserve">[Dejusticia] Contenido multimedia no se carga en página web</t>
  </si>
  <si>
    <t xml:space="preserve">https://app.clickup.com/t/86b5ghqag</t>
  </si>
  <si>
    <t xml:space="preserve">[IT] Grant elkin rodriguez access to deploycloud app</t>
  </si>
  <si>
    <t xml:space="preserve">https://app.clickup.com/t/86b5ghxaw</t>
  </si>
  <si>
    <t xml:space="preserve">[Comfinagro] CLIENTES YA FACTURADOS - Junio 27 - Diana Cárdenas</t>
  </si>
  <si>
    <t xml:space="preserve">https://app.clickup.com/t/86b5gme11</t>
  </si>
  <si>
    <t xml:space="preserve">[Dejusticia] Especial por los 30 años de la Constitución no carga – error "página no existe"</t>
  </si>
  <si>
    <t xml:space="preserve">https://app.clickup.com/t/86b5gnuxw</t>
  </si>
  <si>
    <t xml:space="preserve">[Comfinagro] CLIENTES YA FACTURADOS - JUNIO 27 FTRUJILLO</t>
  </si>
  <si>
    <t xml:space="preserve">https://app.clickup.com/t/86b5gpczp</t>
  </si>
  <si>
    <t xml:space="preserve">[IT] Crear cuenta de sandbox para Calendly</t>
  </si>
  <si>
    <t xml:space="preserve">https://app.clickup.com/t/86b5gj6a5</t>
  </si>
  <si>
    <t xml:space="preserve">https://app.clickup.com/t/86b5gqyuf</t>
  </si>
  <si>
    <t xml:space="preserve">[IT] Conectar formulario de contacto de instancia de desarrollo de swapps.com con la cuenta de Sandbox de Pipedrive</t>
  </si>
  <si>
    <t xml:space="preserve">https://app.clickup.com/t/86b5gj4ed</t>
  </si>
  <si>
    <t xml:space="preserve">[Comfinagro] CLIENTES YA FACTURADOS - Julio 1</t>
  </si>
  <si>
    <t xml:space="preserve">https://app.clickup.com/t/86b5hr8nq</t>
  </si>
  <si>
    <t xml:space="preserve">[IT] Update ncarb credentials in lastpass</t>
  </si>
  <si>
    <t xml:space="preserve">https://app.clickup.com/t/86b5huhc7</t>
  </si>
  <si>
    <t xml:space="preserve">[Ncarb] Redirect Files to New Files</t>
  </si>
  <si>
    <t xml:space="preserve">https://app.clickup.com/t/86b5ht2vw</t>
  </si>
  <si>
    <t xml:space="preserve">[Nulab] LIMS caído tras ampliación de espacio del droplet</t>
  </si>
  <si>
    <t xml:space="preserve">https://app.clickup.com/t/86b5j7ffd</t>
  </si>
  <si>
    <t xml:space="preserve">[IT] Organize adm sprints</t>
  </si>
  <si>
    <t xml:space="preserve">https://app.clickup.com/t/86b5jhvt0</t>
  </si>
  <si>
    <t xml:space="preserve">[Comfinagro] CLIENTES YA FACTURADOS - 02 Julio</t>
  </si>
  <si>
    <t xml:space="preserve">https://app.clickup.com/t/86b5jbqvn</t>
  </si>
  <si>
    <t xml:space="preserve">[Comfinagro] Valores de anexo no coinciden - Alsec</t>
  </si>
  <si>
    <t xml:space="preserve">https://app.clickup.com/t/86b5jqrgc</t>
  </si>
  <si>
    <t xml:space="preserve">[Comfinagro] CLIENTES YA FACTURADOS - VICENTE AMADOR</t>
  </si>
  <si>
    <t xml:space="preserve">https://app.clickup.com/t/86b5jxn83</t>
  </si>
  <si>
    <t xml:space="preserve">[IT] Provide access credentials for cms and deployment environments</t>
  </si>
  <si>
    <t xml:space="preserve">https://app.clickup.com/t/86b5k46zf</t>
  </si>
  <si>
    <t xml:space="preserve">[Swapps] Errores de estilos y formulario swapps</t>
  </si>
  <si>
    <t xml:space="preserve">Elkin </t>
  </si>
  <si>
    <t xml:space="preserve">https://app.clickup.com/t/86b5k4rk8</t>
  </si>
  <si>
    <t xml:space="preserve">[Comfinagro] CLIENTE YA FACTURADOS - Julio 7 DIANA CARDENAS</t>
  </si>
  <si>
    <t xml:space="preserve">https://app.clickup.com/t/86b5kuaa2</t>
  </si>
  <si>
    <t xml:space="preserve">[Científicas] Enlazar con el dominio</t>
  </si>
  <si>
    <t xml:space="preserve">https://app.clickup.com/t/86b5kvpwj</t>
  </si>
  <si>
    <t xml:space="preserve">[Ncarb] Add Grey Border Between Jurisdictions</t>
  </si>
  <si>
    <t xml:space="preserve">Fernando</t>
  </si>
  <si>
    <t xml:space="preserve">https://app.clickup.com/t/86b5knqaf</t>
  </si>
  <si>
    <t xml:space="preserve">[Ncarb] Tour PopUp</t>
  </si>
  <si>
    <t xml:space="preserve">https://app.clickup.com/t/86b5knqah</t>
  </si>
  <si>
    <t xml:space="preserve">[Ncarb] Highlight Category/Jurisdiction in Dropdown After Selected</t>
  </si>
  <si>
    <t xml:space="preserve">https://app.clickup.com/t/86b5knqam</t>
  </si>
  <si>
    <t xml:space="preserve">[Ncarb] Make Description Paragraphs Span LRT</t>
  </si>
  <si>
    <t xml:space="preserve">https://app.clickup.com/t/86b5knqat</t>
  </si>
  <si>
    <t xml:space="preserve">[Nulab] Inconvenientes con selección de métodos de ensayo y consecutivo de muestra</t>
  </si>
  <si>
    <t xml:space="preserve">https://app.clickup.com/t/86b5ky00x</t>
  </si>
  <si>
    <t xml:space="preserve">[Comfinagro] Lentitud del aplicativo Horus.</t>
  </si>
  <si>
    <t xml:space="preserve">https://app.clickup.com/t/86b5kxkza</t>
  </si>
  <si>
    <t xml:space="preserve">[Comfinagro] Error en Consecutivo factura IBGE - Asignación Operaciones Julio 7</t>
  </si>
  <si>
    <t xml:space="preserve">https://app.clickup.com/t/86b5kykzm</t>
  </si>
  <si>
    <t xml:space="preserve">[Comfinagro] Cargar factura BGTA1313 a Horus</t>
  </si>
  <si>
    <t xml:space="preserve">https://app.clickup.com/t/86b5m6hjj</t>
  </si>
  <si>
    <t xml:space="preserve">[IT] Grant permissions for 'dejusticia backlog' tasks in clickup</t>
  </si>
  <si>
    <t xml:space="preserve">https://app.clickup.com/t/86b5mjbwj</t>
  </si>
  <si>
    <t xml:space="preserve">[Swapps] Problema al enviar formulario de aplicación: detectado como SPAM</t>
  </si>
  <si>
    <t xml:space="preserve">https://app.clickup.com/t/86b5mntbq</t>
  </si>
  <si>
    <t xml:space="preserve">[IT] Assistance with Committing Changes to Open House Veeva Platform – Elkin &amp; Hector</t>
  </si>
  <si>
    <t xml:space="preserve">https://app.clickup.com/t/86b5mmv9u</t>
  </si>
  <si>
    <t xml:space="preserve">[Comfinagro] Clientes ya Facturados - Fernando Trujillo - 10 de Julio</t>
  </si>
  <si>
    <t xml:space="preserve">https://app.clickup.com/t/86b5nbr64</t>
  </si>
  <si>
    <t xml:space="preserve">[Comfinagro] Asignación de consecutivo - IBGE4812</t>
  </si>
  <si>
    <t xml:space="preserve">https://app.clickup.com/t/86b5nbz27</t>
  </si>
  <si>
    <t xml:space="preserve">[Zuckerman] Jetpack stats are not displaying.</t>
  </si>
  <si>
    <t xml:space="preserve">https://app.clickup.com/t/454056/ZL-1598</t>
  </si>
  <si>
    <t xml:space="preserve">[Comfinagro] Cargar facturas transmitidas manualmente en Factory a Horus</t>
  </si>
  <si>
    <t xml:space="preserve">https://app.clickup.com/t/86b5nnp10</t>
  </si>
  <si>
    <t xml:space="preserve">[IT] Snapshot pendiente en Linode - dbprod (800519235)</t>
  </si>
  <si>
    <t xml:space="preserve">https://app.clickup.com/t/86b5nqx8e</t>
  </si>
  <si>
    <t xml:space="preserve">[Dejusticia] [Botón de pago] Realizar las pruebas del formulario y proceso completo, como está desarrollado</t>
  </si>
  <si>
    <t xml:space="preserve">https://app.clickup.com/t/454056/SLA-1615</t>
  </si>
  <si>
    <t xml:space="preserve">[Comfinagro] ERROR TRANSMISION FACTURAS JUL 11 CARACTER URGENTE -VICENTE AMADOR</t>
  </si>
  <si>
    <t xml:space="preserve">https://app.clickup.com/t/86b5p7u0b</t>
  </si>
  <si>
    <t xml:space="preserve">[IT] Contact Form 7 for AMP license about to expire</t>
  </si>
  <si>
    <t xml:space="preserve">https://app.clickup.com/t/86b5p9y2g</t>
  </si>
  <si>
    <t xml:space="preserve">[Nulab] Lentitud en el sistema LIMS y fallos al descargar PDF de resultados</t>
  </si>
  <si>
    <t xml:space="preserve">https://app.clickup.com/t/86b5pc95b</t>
  </si>
  <si>
    <t xml:space="preserve">[Comfinagro] Clientes ya facturados - Julio 15</t>
  </si>
  <si>
    <t xml:space="preserve">https://app.clickup.com/t/86b5pqdrt</t>
  </si>
  <si>
    <t xml:space="preserve">[IMC] Auto-Reply Configuration for July Retreat</t>
  </si>
  <si>
    <t xml:space="preserve">https://app.clickup.com/t/86b5q4yak</t>
  </si>
  <si>
    <t xml:space="preserve">RV: ANULACION OPERACION - VICENTE AMADOR</t>
  </si>
  <si>
    <t xml:space="preserve">https://app.clickup.com/t/86b5rrqa6</t>
  </si>
  <si>
    <t xml:space="preserve">[Comfinagro] ANULACION DE OPERACION - VICENTE AMADOR</t>
  </si>
  <si>
    <t xml:space="preserve">https://app.clickup.com/t/86b5rrruk</t>
  </si>
  <si>
    <t xml:space="preserve">[IT] Reset admin access credentials for swapps website</t>
  </si>
  <si>
    <t xml:space="preserve">https://app.clickup.com/t/86b5t8e5k</t>
  </si>
  <si>
    <t xml:space="preserve">[CRM][HOTFIX]Optimización de integración y sincronización de contratos entre ClickUp, Pipedrive e IDK</t>
  </si>
  <si>
    <t xml:space="preserve">Felipe</t>
  </si>
  <si>
    <t xml:space="preserve">https://app.clickup.com/t/86b5rg74t</t>
  </si>
  <si>
    <t xml:space="preserve">[IT] Renew packagist subscription to reactivate private repository</t>
  </si>
  <si>
    <t xml:space="preserve">https://app.clickup.com/t/86b5tap3z</t>
  </si>
  <si>
    <t xml:space="preserve">[IT] Mirror Slack channels to ClickUp</t>
  </si>
  <si>
    <t xml:space="preserve">https://app.clickup.com/t/86b5thd3g</t>
  </si>
  <si>
    <t xml:space="preserve">[IT] UptimeRobot Webhook to ClickUp Chat</t>
  </si>
  <si>
    <t xml:space="preserve">https://app.clickup.com/t/86b5the6m</t>
  </si>
  <si>
    <t xml:space="preserve">[IT] Gestionar acceso API y Sandbox Siigo</t>
  </si>
  <si>
    <t xml:space="preserve">https://app.clickup.com/t/86b5tzba9</t>
  </si>
  <si>
    <t xml:space="preserve">[Faktur] Ajuste en el front para filtrar facturas por tipo de fecha</t>
  </si>
  <si>
    <t xml:space="preserve">Camilo</t>
  </si>
  <si>
    <t xml:space="preserve">https://app.clickup.com/t/86b5u33yy</t>
  </si>
  <si>
    <t xml:space="preserve">[IT] Agregar usuarios al canal de chat de Dejusticia en ClickUp</t>
  </si>
  <si>
    <t xml:space="preserve">https://app.clickup.com/t/86b5u2m2p</t>
  </si>
  <si>
    <t xml:space="preserve">[Ncarb] Issue Uploading Image – File Doesn’t Upload Despite Re-logging</t>
  </si>
  <si>
    <t xml:space="preserve">https://app.clickup.com/t/86b5wj0b1</t>
  </si>
  <si>
    <t xml:space="preserve">Create a chat channel named pm_dejusticia_fundraising in clickup</t>
  </si>
  <si>
    <t xml:space="preserve">https://app.clickup.com/t/86b5w8g5a</t>
  </si>
  <si>
    <t xml:space="preserve">[IT] Crear automatización de notificación de ticket al chat de pm</t>
  </si>
  <si>
    <t xml:space="preserve">https://app.clickup.com/t/86b5wggx0</t>
  </si>
  <si>
    <t xml:space="preserve">[IT] Migrate and mirror pm_ncarb channel</t>
  </si>
  <si>
    <t xml:space="preserve">https://app.clickup.com/t/86b5whrr8</t>
  </si>
  <si>
    <t xml:space="preserve">[Faktur] Acumulación de PDFs sin procesar en carpeta "Certificados Pendientes</t>
  </si>
  <si>
    <t xml:space="preserve">https://app.clickup.com/t/86b5x7bfj</t>
  </si>
  <si>
    <t xml:space="preserve">[Zuckerman] Database Update Required Notice on WordPress panel</t>
  </si>
  <si>
    <t xml:space="preserve">https://app.clickup.com/t/454056/ZL-1603</t>
  </si>
  <si>
    <t xml:space="preserve">[IT] Adjust standards-drupal branch for ncarb workflow improvements</t>
  </si>
  <si>
    <t xml:space="preserve">https://app.clickup.com/t/86b5yvz4q</t>
  </si>
  <si>
    <t xml:space="preserve">[IT] Update dockerfiles to fix build errors caused by archived debian buster repos</t>
  </si>
  <si>
    <t xml:space="preserve">https://app.clickup.com/t/86b5yvkmm</t>
  </si>
  <si>
    <t xml:space="preserve">[Comfinagro] ANULACIÓN DE OPERACIONES - VICENTE AMADOR</t>
  </si>
  <si>
    <t xml:space="preserve">https://app.clickup.com/t/86b5z279d</t>
  </si>
  <si>
    <t xml:space="preserve">[Comfinagro] Urgente - Solicitud Creación Subyacentes</t>
  </si>
  <si>
    <t xml:space="preserve">https://app.clickup.com/t/86b5z2axq</t>
  </si>
  <si>
    <t xml:space="preserve">[IT] Migrar canal de tickets de slack a clickup</t>
  </si>
  <si>
    <t xml:space="preserve">https://app.clickup.com/t/86b5z1u0v</t>
  </si>
  <si>
    <t xml:space="preserve">[Dejusticia] Actualización de contenido en la página de Fortalecimiento</t>
  </si>
  <si>
    <t xml:space="preserve">https://app.clickup.com/t/86b5zydfx</t>
  </si>
  <si>
    <t xml:space="preserve">[Nulab] Ajustes a diseño de logo en resultados</t>
  </si>
  <si>
    <t xml:space="preserve">https://app.clickup.com/t/86b5zxja3</t>
  </si>
  <si>
    <t xml:space="preserve">[Dejusticia][Botón de pago] Asegurar registro de datos de donante (Datos formulario) - Actualizar el disclaimer del formulario.</t>
  </si>
  <si>
    <t xml:space="preserve">https://app.clickup.com/t/86b60321h</t>
  </si>
  <si>
    <t xml:space="preserve">[Faktur] Mostrar datos del cliente mandante principal</t>
  </si>
  <si>
    <t xml:space="preserve">Camilo </t>
  </si>
  <si>
    <t xml:space="preserve">https://app.clickup.com/t/86b61p2x1</t>
  </si>
  <si>
    <t xml:space="preserve">[Dejusticia] Actualización de contenido en la página de Fortalecimiento (Ingles)</t>
  </si>
  <si>
    <t xml:space="preserve">https://app.clickup.com/t/86b61u762</t>
  </si>
  <si>
    <t xml:space="preserve">Update servicio de registro bmc to include 'ingreso para terceros' as required by dian</t>
  </si>
  <si>
    <t xml:space="preserve">https://app.clickup.com/t/86b61ucue</t>
  </si>
  <si>
    <t xml:space="preserve">Provide and enable access credentials for swapps wp-admin and pantheon</t>
  </si>
  <si>
    <t xml:space="preserve">https://app.clickup.com/t/86b61uykz</t>
  </si>
  <si>
    <t xml:space="preserve">[Fenix] En Multiproposito manual actualizar Conceptos</t>
  </si>
  <si>
    <t xml:space="preserve">https://app.clickup.com/t/86b61vhkm</t>
  </si>
  <si>
    <t xml:space="preserve">[Dejusticia][Botón de Pago] Implementación de funciones en formulario Recurrencia</t>
  </si>
  <si>
    <t xml:space="preserve">https://app.clickup.com/t/86b621ajx</t>
  </si>
  <si>
    <t xml:space="preserve">[Dejusticia][Technical SEO]  Análisis y definición de acciones frente a 223.000 URLs con estado “Duplicate without user-selected canonical”</t>
  </si>
  <si>
    <t xml:space="preserve">https://app.clickup.com/t/86b623ftd</t>
  </si>
  <si>
    <t xml:space="preserve">[Ncarb] Revisions Tab of CMS Not Loading</t>
  </si>
  <si>
    <t xml:space="preserve">https://app.clickup.com/t/86b62wuzz</t>
  </si>
  <si>
    <t xml:space="preserve">[Dejusticia] Ajustar estructura de contenido para TEMAS</t>
  </si>
  <si>
    <t xml:space="preserve">https://app.clickup.com/t/86b62va6r</t>
  </si>
  <si>
    <t xml:space="preserve">[Dejusticia] Ajustar estructura de contenido para Footer / Nosotros / Como trabajamos </t>
  </si>
  <si>
    <t xml:space="preserve">https://app.clickup.com/t/86b62x0wz</t>
  </si>
  <si>
    <t xml:space="preserve">[Fenix] Actualizar tabla subyacentes  y Formas de Pago</t>
  </si>
  <si>
    <t xml:space="preserve">https://app.clickup.com/t/86b639rra</t>
  </si>
  <si>
    <t xml:space="preserve">[Fenix] Facturacion Duplicada usuario Ftrujillo</t>
  </si>
  <si>
    <t xml:space="preserve">https://app.clickup.com/t/86b639t1m</t>
  </si>
  <si>
    <t xml:space="preserve">[Swapps] Broken Link Review on Website – Case Study</t>
  </si>
  <si>
    <t xml:space="preserve">https://app.clickup.com/t/86b63yqg2</t>
  </si>
  <si>
    <t xml:space="preserve">Configurar servidor de correo saliente de IDK desarrollo y producción</t>
  </si>
  <si>
    <t xml:space="preserve">https://app.clickup.com/t/86b648k4z</t>
  </si>
  <si>
    <t xml:space="preserve">[Comfinagro][Fenix] Anexo de Facturas sale sin nombre del tercero</t>
  </si>
  <si>
    <t xml:space="preserve">https://app.clickup.com/t/86b649uue</t>
  </si>
  <si>
    <t xml:space="preserve">[Comfinagro] [horus] Anexo de facturas - Distribuidora de Carnes ET los monos - HORUS</t>
  </si>
  <si>
    <t xml:space="preserve">https://app.clickup.com/t/86b64ang2</t>
  </si>
  <si>
    <t xml:space="preserve">[Comfinagro] Error en ciudad - Archivo de salida Fénix - Diana Cardenas</t>
  </si>
  <si>
    <t xml:space="preserve">https://app.clickup.com/t/86b65z3vd</t>
  </si>
  <si>
    <t xml:space="preserve">[Comfinagro] [Fenix] Nombre comitente punta Compra no sale en el reporte de salida</t>
  </si>
  <si>
    <t xml:space="preserve">https://app.clickup.com/t/86b64cgu0</t>
  </si>
  <si>
    <t xml:space="preserve">[Comfinagro]ERROR GRAVE EN FACTURACIÓN</t>
  </si>
  <si>
    <t xml:space="preserve">https://app.clickup.com/t/86b63xfvh</t>
  </si>
  <si>
    <t xml:space="preserve">[IT] Provide deploycloud and pantheon credentials for swapps web container</t>
  </si>
  <si>
    <t xml:space="preserve">https://app.clickup.com/t/86b6614z6</t>
  </si>
  <si>
    <t xml:space="preserve">[hotfix] Fix time report showing zero for collaborators</t>
  </si>
  <si>
    <t xml:space="preserve">https://app.clickup.com/t/86b66312g</t>
  </si>
  <si>
    <t xml:space="preserve">[Fénix] Validación Facturación BGTA - URG</t>
  </si>
  <si>
    <t xml:space="preserve">https://app.clickup.com/t/86b66109e</t>
  </si>
  <si>
    <t xml:space="preserve">[Dejusticia][Botón de pago] Actualizar landing de Apoya Dejusticia</t>
  </si>
  <si>
    <t xml:space="preserve">https://app.clickup.com/t/86b667hz6</t>
  </si>
  <si>
    <t xml:space="preserve">[Fénix] Multipropósito Manual - Facturación BGTA</t>
  </si>
  <si>
    <t xml:space="preserve">https://app.clickup.com/t/86b66ybkm</t>
  </si>
  <si>
    <t xml:space="preserve">[Fénix] Interfase TXT Factura IBGE – Errores contables</t>
  </si>
  <si>
    <t xml:space="preserve">https://app.clickup.com/t/86b6726e8</t>
  </si>
  <si>
    <t xml:space="preserve">[Fénix] Observaciones ORF</t>
  </si>
  <si>
    <t xml:space="preserve">https://app.clickup.com/t/86b672w1d</t>
  </si>
  <si>
    <t xml:space="preserve">[Dejusticia] Vencimiento de Certificados SSL de publicaciones.dejusticia.org</t>
  </si>
  <si>
    <t xml:space="preserve">https://app.clickup.com/t/86b673ehf</t>
  </si>
  <si>
    <t xml:space="preserve">[Fénix]ERROR EN FACTURACIÓN - DIANA CARDENAS</t>
  </si>
  <si>
    <t xml:space="preserve">https://app.clickup.com/t/86b67p41y</t>
  </si>
  <si>
    <t xml:space="preserve">[Comfinagro] Ajuste de consecutivo BGTA en Fénix y The Factory (BGTA 1314 - 1335)</t>
  </si>
  <si>
    <t xml:space="preserve">https://app.clickup.com/t/86b68aeg0</t>
  </si>
  <si>
    <t xml:space="preserve">[IT] Provide aws credentials to jose carrera</t>
  </si>
  <si>
    <t xml:space="preserve">https://app.clickup.com/t/86b68hbqn</t>
  </si>
  <si>
    <t xml:space="preserve">[Faktur] Error al cargar archivo Excel con facturas</t>
  </si>
  <si>
    <t xml:space="preserve">https://app.clickup.com/t/86b68k2gc</t>
  </si>
  <si>
    <t xml:space="preserve">[Comfinago] Error al intentar grabar factura - Fernando Trujillo</t>
  </si>
  <si>
    <t xml:space="preserve">https://app.clickup.com/t/86b694dhv</t>
  </si>
  <si>
    <t xml:space="preserve">[Dejusticia] Revisar Certificado SSL Error 526</t>
  </si>
  <si>
    <t xml:space="preserve">https://app.clickup.com/t/86b6aunct</t>
  </si>
  <si>
    <t xml:space="preserve">[Fénix] Error en transmisión de factura con consecutivo FE33866</t>
  </si>
  <si>
    <t xml:space="preserve">https://app.clickup.com/t/86b6aw06j</t>
  </si>
  <si>
    <t xml:space="preserve">[Dejusticia][Botón de pago] Release a producción</t>
  </si>
  <si>
    <t xml:space="preserve">https://app.clickup.com/t/86b6athxm</t>
  </si>
  <si>
    <t xml:space="preserve">[Soluciones Cientificas] [soporte] Arquitectura y Guía Técnica con Python</t>
  </si>
  <si>
    <t xml:space="preserve">https://app.clickup.com/t/86b6b04mu</t>
  </si>
  <si>
    <t xml:space="preserve">[IT] Fix error in selfhosted runner</t>
  </si>
  <si>
    <t xml:space="preserve">https://app.clickup.com/t/86b6b0p11</t>
  </si>
  <si>
    <t xml:space="preserve">[Fénix] Problema en cargue Vicente Amador - Humberto Madroñero</t>
  </si>
  <si>
    <t xml:space="preserve">https://app.clickup.com/t/86b6bhqpb</t>
  </si>
  <si>
    <t xml:space="preserve">[Fenix] Problemas en cargue Vicente Amador - Supercarnes Una Empresa Familiar</t>
  </si>
  <si>
    <t xml:space="preserve">https://app.clickup.com/t/86b6bpew6</t>
  </si>
  <si>
    <t xml:space="preserve">Generate cloudflare api key and provide zone id for swapps.com and subdomains</t>
  </si>
  <si>
    <t xml:space="preserve">https://app.clickup.com/t/86b6bybj4</t>
  </si>
  <si>
    <t xml:space="preserve">[Nulab] Solicitud de resultados con acreditación ONAC y rango de fechas</t>
  </si>
  <si>
    <t xml:space="preserve">https://app.clickup.com/t/86b6cfgc5</t>
  </si>
  <si>
    <t xml:space="preserve">[Fénix] Error en importación .txt facuras BGTA - 1338 y 1339</t>
  </si>
  <si>
    <t xml:space="preserve">https://app.clickup.com/t/86b6cfcpp</t>
  </si>
  <si>
    <t xml:space="preserve">[Ncarb] Investigate Missing Password Reset Emails in Drupal</t>
  </si>
  <si>
    <t xml:space="preserve">https://app.clickup.com/t/86b6ckukn</t>
  </si>
  <si>
    <t xml:space="preserve">[Fénix] ERROR EN FACTURACION - ALQUILER OFC CALI - MERINO ABOGADOS</t>
  </si>
  <si>
    <t xml:space="preserve">https://app.clickup.com/t/86b6dam9f</t>
  </si>
  <si>
    <t xml:space="preserve">[IT] Give access for pantheon to Felipe</t>
  </si>
  <si>
    <t xml:space="preserve">https://app.clickup.com/t/86b6dgmc7</t>
  </si>
  <si>
    <t xml:space="preserve">[IT] Provide cloudflare access to adjust environment variables for idash worker</t>
  </si>
  <si>
    <t xml:space="preserve">https://app.clickup.com/t/86b6dkrrz</t>
  </si>
  <si>
    <t xml:space="preserve">[Fenix] Continuación - Nombre de comitente punta compra</t>
  </si>
  <si>
    <t xml:space="preserve">https://app.clickup.com/t/86b6dqh2c</t>
  </si>
  <si>
    <t xml:space="preserve">Provide access to escr server and instructions to update plugin</t>
  </si>
  <si>
    <t xml:space="preserve">https://app.clickup.com/t/86b6dyzmv</t>
  </si>
  <si>
    <t xml:space="preserve">Provide access to sonarq in lastpass for Carlos Moreno</t>
  </si>
  <si>
    <t xml:space="preserve">https://app.clickup.com/t/86b6dz1b2</t>
  </si>
  <si>
    <t xml:space="preserve">[Fénix] Archivos validados - Campo en blanco pero activo - Diana Cárdenas</t>
  </si>
  <si>
    <t xml:space="preserve">https://app.clickup.com/t/86b6e7vpa</t>
  </si>
  <si>
    <t xml:space="preserve">[FA] Verify referral form functionality</t>
  </si>
  <si>
    <t xml:space="preserve">https://app.clickup.com/t/86b6eg6fv</t>
  </si>
  <si>
    <t xml:space="preserve">Create a new blank github repository named veeva-lupkynis</t>
  </si>
  <si>
    <t xml:space="preserve">https://app.clickup.com/t/86b6efvau</t>
  </si>
  <si>
    <t xml:space="preserve">[Dejusticia] Adición de links de notas en español e inglés</t>
  </si>
  <si>
    <t xml:space="preserve">https://app.clickup.com/t/86b6efb94</t>
  </si>
  <si>
    <t xml:space="preserve">[Ncarb] AXP Portfolio Form File - Bug</t>
  </si>
  <si>
    <t xml:space="preserve">https://app.clickup.com/t/86b6epb8d</t>
  </si>
  <si>
    <t xml:space="preserve">ESCR</t>
  </si>
  <si>
    <t xml:space="preserve">[ESCR] Error uploading French translation and access to microsites Dashboard</t>
  </si>
  <si>
    <t xml:space="preserve">https://app.clickup.com/t/86b6ej8j2</t>
  </si>
  <si>
    <t xml:space="preserve">[Nulab] Revisión de método reportado como acreditado sin estarlo</t>
  </si>
  <si>
    <t xml:space="preserve">https://app.clickup.com/t/86b6f1zxw</t>
  </si>
  <si>
    <t xml:space="preserve">Test email rendering on apple mail client</t>
  </si>
  <si>
    <t xml:space="preserve">https://app.clickup.com/t/86b6f977a</t>
  </si>
  <si>
    <t xml:space="preserve">Grant access to dejusticia cloudflare for cache clearing</t>
  </si>
  <si>
    <t xml:space="preserve">https://app.clickup.com/t/86b6f98ca</t>
  </si>
  <si>
    <t xml:space="preserve">[Fénix] ERROR EN CONSULTA DE FACTURAS</t>
  </si>
  <si>
    <t xml:space="preserve">https://app.clickup.com/t/86b6fm8tf</t>
  </si>
  <si>
    <t xml:space="preserve">[Dejusticia] Problemas de acceso al admin de WordPress y con el buscador del sitio</t>
  </si>
  <si>
    <t xml:space="preserve">https://app.clickup.com/t/86b6ge9m2</t>
  </si>
  <si>
    <t xml:space="preserve">[Nulab] Corrección de muestras asignadas a cliente incorrecto</t>
  </si>
  <si>
    <t xml:space="preserve">https://app.clickup.com/t/86b6gu0re</t>
  </si>
  <si>
    <t xml:space="preserve">[IT] Provide access to camilo rodríguez</t>
  </si>
  <si>
    <t xml:space="preserve">https://app.clickup.com/t/86b6gvmej</t>
  </si>
  <si>
    <t xml:space="preserve">[IT] Add georeferencing app credentials to lastpass for testing</t>
  </si>
  <si>
    <t xml:space="preserve">https://app.clickup.com/t/86b6hemvf</t>
  </si>
  <si>
    <t xml:space="preserve">[IT] Resolve linode payment issue to prevent service interruption</t>
  </si>
  <si>
    <t xml:space="preserve">https://app.clickup.com/t/86b6hx03d</t>
  </si>
  <si>
    <t xml:space="preserve">[IT] Grant deploycloud access to felipe for escr task</t>
  </si>
  <si>
    <t xml:space="preserve">https://app.clickup.com/t/86b6j7rhj</t>
  </si>
  <si>
    <t xml:space="preserve">[IT] Grant edit permissions for the task list to mateo barrera</t>
  </si>
  <si>
    <t xml:space="preserve">https://app.clickup.com/t/86b6jevpm</t>
  </si>
  <si>
    <t xml:space="preserve">[Fénix] Intermitencias en CRM</t>
  </si>
  <si>
    <t xml:space="preserve">https://app.clickup.com/t/86b6jk0m5</t>
  </si>
  <si>
    <t xml:space="preserve">[Faktur] Creación de llaves de acceso para servidores de pruebas</t>
  </si>
  <si>
    <t xml:space="preserve">https://app.clickup.com/t/86b6m0qgu</t>
  </si>
  <si>
    <t xml:space="preserve">[Comfinagro] Reinicio de consecutivo - ORF</t>
  </si>
  <si>
    <t xml:space="preserve">https://app.clickup.com/t/86b6mgr1r</t>
  </si>
  <si>
    <t xml:space="preserve">Create dev-escr@swapps.io account for cloudflare configuration</t>
  </si>
  <si>
    <t xml:space="preserve">https://app.clickup.com/t/86b6n5z0d</t>
  </si>
  <si>
    <t xml:space="preserve">[Fénix] NOVEDAD - REGISTRO DOBLE FENIX Y BMC</t>
  </si>
  <si>
    <t xml:space="preserve">https://app.clickup.com/t/86b6njqpw</t>
  </si>
  <si>
    <t xml:space="preserve">Crear documentación de formulario swapps al pipedrive</t>
  </si>
  <si>
    <t xml:space="preserve">https://app.clickup.com/t/86b6nrz9z</t>
  </si>
  <si>
    <t xml:space="preserve">[Dejusticia] Dificultad con botón de pagos: intentos fraudulentos</t>
  </si>
  <si>
    <t xml:space="preserve">https://app.clickup.com/t/86b6nudhx</t>
  </si>
  <si>
    <t xml:space="preserve">Adjust permissions to allow time tracking on tasks</t>
  </si>
  <si>
    <t xml:space="preserve">https://app.clickup.com/t/86b6nk9jh</t>
  </si>
  <si>
    <t xml:space="preserve">[Ncarb] File Redirect</t>
  </si>
  <si>
    <t xml:space="preserve">https://app.clickup.com/t/86b6q41km</t>
  </si>
  <si>
    <t xml:space="preserve">[Nulab] Certificado de sitio expirado - Septiembre</t>
  </si>
  <si>
    <t xml:space="preserve">https://app.clickup.com/t/86b6ptx76</t>
  </si>
  <si>
    <t xml:space="preserve">[IDK] Hotfix: error to sync Siigo from admin</t>
  </si>
  <si>
    <t xml:space="preserve">https://app.clickup.com/t/86b6qf2gc</t>
  </si>
  <si>
    <t xml:space="preserve">[IDK] Webhooks error by suspend service</t>
  </si>
  <si>
    <t xml:space="preserve">https://app.clickup.com/t/86b6r9r8j</t>
  </si>
  <si>
    <t xml:space="preserve">Actualización y automatización del proceso de deploy a producción</t>
  </si>
  <si>
    <t xml:space="preserve">https://app.clickup.com/t/86b6rfxa4</t>
  </si>
  <si>
    <t xml:space="preserve">[ESCR] Error creating/editing translations in Initiatives</t>
  </si>
  <si>
    <t xml:space="preserve">https://app.clickup.com/t/86b6rxuhw</t>
  </si>
  <si>
    <t xml:space="preserve">[IDK] Hotfix: error create TaskIntance by webhooks</t>
  </si>
  <si>
    <t xml:space="preserve">https://app.clickup.com/t/86b6rr5ga</t>
  </si>
  <si>
    <t xml:space="preserve">[IDK] Create models SiigoProducts sync Siigo</t>
  </si>
  <si>
    <t xml:space="preserve">https://app.clickup.com/t/86b6rv9k8</t>
  </si>
  <si>
    <t xml:space="preserve">[Faktur] Errores en Operation_operationaux</t>
  </si>
  <si>
    <t xml:space="preserve">https://app.clickup.com/t/86b6tetcg</t>
  </si>
  <si>
    <t xml:space="preserve">[Dejusticia] Garantizar UX con opciones de Recurrencia - Botón de pago</t>
  </si>
  <si>
    <t xml:space="preserve">https://app.clickup.com/t/86b6th7b4</t>
  </si>
  <si>
    <t xml:space="preserve">[Dejusticia] Ajuste manejo de datos personales sitio web</t>
  </si>
  <si>
    <t xml:space="preserve">https://app.clickup.com/t/86b6uq9uw</t>
  </si>
  <si>
    <t xml:space="preserve">[Dejusticia] [UX]Ajustar mensaje de Acepto Política - Botón de donaciones</t>
  </si>
  <si>
    <t xml:space="preserve">https://app.clickup.com/t/86b6v13wj</t>
  </si>
  <si>
    <t xml:space="preserve">[ESCR] Consulta sobre eliminación de perfiles y cache en buscadores</t>
  </si>
  <si>
    <t xml:space="preserve">https://app.clickup.com/t/454056/SLA-2122</t>
  </si>
  <si>
    <t xml:space="preserve">[IDK] hotfix: Sync siigo products and clients production</t>
  </si>
  <si>
    <t xml:space="preserve">https://app.clickup.com/t/86b6vqwu1</t>
  </si>
  <si>
    <t xml:space="preserve">[Dejusticia] Problema con carga de archivos en entradas</t>
  </si>
  <si>
    <t xml:space="preserve">https://app.clickup.com/t/86b6vr354</t>
  </si>
  <si>
    <t xml:space="preserve">[NCARB] Accessibility: BOD Page Heading Levels</t>
  </si>
  <si>
    <t xml:space="preserve">https://app.clickup.com/t/86b6vqybz</t>
  </si>
  <si>
    <t xml:space="preserve">[Dejusticia] Ajuste de espacios en servidor</t>
  </si>
  <si>
    <t xml:space="preserve">https://app.clickup.com/t/86b6wj26v</t>
  </si>
  <si>
    <t xml:space="preserve">[Dejusticia] Corregir H1 y URL Justicia Transicional</t>
  </si>
  <si>
    <t xml:space="preserve">https://app.clickup.com/t/86b6wtxmj</t>
  </si>
  <si>
    <t xml:space="preserve">[IT] Limpieza de datos de CRM</t>
  </si>
  <si>
    <t xml:space="preserve">https://app.clickup.com/t/86b6wvgqg</t>
  </si>
  <si>
    <t xml:space="preserve">[Ncarb] FAQ page of ncarb.org is down</t>
  </si>
  <si>
    <t xml:space="preserve">https://app.clickup.com/t/86b6wwb1p</t>
  </si>
  <si>
    <t xml:space="preserve">[IDK] hotfix: Not syncing tasks list error</t>
  </si>
  <si>
    <t xml:space="preserve">https://app.clickup.com/t/86b6x1pbj</t>
  </si>
  <si>
    <t xml:space="preserve">[FADF] Inquiry how to change the recipient email for new registrations</t>
  </si>
  <si>
    <t xml:space="preserve">https://app.clickup.com/t/86b6xc8fr</t>
  </si>
  <si>
    <t xml:space="preserve">[Ncarb] Redirect Supervisor webpage</t>
  </si>
  <si>
    <t xml:space="preserve">https://app.clickup.com/t/86b6xcn8m</t>
  </si>
  <si>
    <t xml:space="preserve">[Comfinagro] Etiquetas/Encabezados - BD CRM - Horus</t>
  </si>
  <si>
    <t xml:space="preserve">https://app.clickup.com/t/86b6xed6u</t>
  </si>
  <si>
    <t xml:space="preserve">[IDK] hotfix: error webhook to remove list principal</t>
  </si>
  <si>
    <t xml:space="preserve">https://app.clickup.com/t/86b6xjhn8</t>
  </si>
  <si>
    <t xml:space="preserve">[Dejusticia] Problemas de contraste y tamaño de títulos en el home</t>
  </si>
  <si>
    <t xml:space="preserve">https://app.clickup.com/t/86b6xxpqg</t>
  </si>
  <si>
    <t xml:space="preserve">[Dejusticia] [Botón de pagos] Ajustar el registro y exposición de IDs de Checkout en GA4 para cumplir con políticas de PII</t>
  </si>
  <si>
    <t xml:space="preserve">https://app.clickup.com/t/86b6y54tv</t>
  </si>
  <si>
    <t xml:space="preserve">[Dejusticia] Apoyo insersión de reel (Instagram) en nota</t>
  </si>
  <si>
    <t xml:space="preserve">https://app.clickup.com/t/86b6yfrad</t>
  </si>
  <si>
    <t xml:space="preserve">[IDK] Certificates SSL error</t>
  </si>
  <si>
    <t xml:space="preserve">https://app.clickup.com/t/86b6z4mg2</t>
  </si>
  <si>
    <t xml:space="preserve">[Nulab] Consolidado de Excel del cliente Cine Colombia no muestra datos de agosto y septiembre</t>
  </si>
  <si>
    <t xml:space="preserve">https://app.clickup.com/t/86b6zbyzy</t>
  </si>
  <si>
    <t xml:space="preserve">[Dejusticia] Ajuste de entradas en /tag/ </t>
  </si>
  <si>
    <t xml:space="preserve">https://app.clickup.com/t/86b70amtk</t>
  </si>
  <si>
    <t xml:space="preserve">[IT] Add specified urls to insightful platform</t>
  </si>
  <si>
    <t xml:space="preserve">https://app.clickup.com/t/86b70cezp</t>
  </si>
  <si>
    <t xml:space="preserve">[Faktur] Revisión de error en inserción a tabla auxiliar de operaciones</t>
  </si>
  <si>
    <t xml:space="preserve">https://app.clickup.com/t/86b70mkng</t>
  </si>
  <si>
    <t xml:space="preserve">Instancia de Nulab – error DNS_PROBE_FINISHED_NXDOMAIN</t>
  </si>
  <si>
    <t xml:space="preserve">https://app.clickup.com/t/86b70pedc</t>
  </si>
  <si>
    <t xml:space="preserve">[IDK] Error release 4.0.3 webhooks</t>
  </si>
  <si>
    <t xml:space="preserve">https://app.clickup.com/t/86b72rya6</t>
  </si>
  <si>
    <t xml:space="preserve">[Comfinagro] Nueva Cuenta - Archivo .txt</t>
  </si>
  <si>
    <t xml:space="preserve">https://app.clickup.com/t/86b732cat</t>
  </si>
  <si>
    <t xml:space="preserve">[IDK] Task Sync deletes tasks</t>
  </si>
  <si>
    <t xml:space="preserve">https://app.clickup.com/t/86b7333dr</t>
  </si>
  <si>
    <t xml:space="preserve">[Fénix] ERROR AL TRANSMITIR FACTURA BGTA1383</t>
  </si>
  <si>
    <t xml:space="preserve">https://app.clickup.com/t/86b73ky71</t>
  </si>
  <si>
    <t xml:space="preserve">[Faktur] Ejecución de tarea de celery en tabla de operationaux</t>
  </si>
  <si>
    <t xml:space="preserve">https://app.clickup.com/t/86b7470vn</t>
  </si>
  <si>
    <t xml:space="preserve">Validate and renew argocd_token to fix image pull 403 error</t>
  </si>
  <si>
    <t xml:space="preserve">https://app.clickup.com/t/86b74zqnw</t>
  </si>
  <si>
    <t xml:space="preserve">URGENTE - FALLO EN ACCESO A FÉNIX</t>
  </si>
  <si>
    <t xml:space="preserve">https://app.clickup.com/t/86b75azn0</t>
  </si>
  <si>
    <t xml:space="preserve">[Zuckerman] Remove incorrect strikethrough on the text “whistleblower retaliation”</t>
  </si>
  <si>
    <t xml:space="preserve">https://app.clickup.com/t/454056/ZL-1622</t>
  </si>
  <si>
    <t xml:space="preserve">[Fénix] Problemas con .txt - Continuación "Nueva cuenta .txt"</t>
  </si>
  <si>
    <t xml:space="preserve">https://app.clickup.com/t/86b75r490</t>
  </si>
  <si>
    <t xml:space="preserve">[Fénix] Reinicio de consecutivo - ORF - Parte 2 - Caso Vicente</t>
  </si>
  <si>
    <t xml:space="preserve">https://app.clickup.com/t/86b75uq73</t>
  </si>
  <si>
    <t xml:space="preserve">[Fénix] ERROR EN VALIDACIONES - DIANA CARDENAS 21/10/25</t>
  </si>
  <si>
    <t xml:space="preserve">https://app.clickup.com/t/86b7603we</t>
  </si>
  <si>
    <t xml:space="preserve">[Fénix] URGENTE - REGISTRO DOBLE FENIX Y BMC - NUEVAMENTE 21/10/25</t>
  </si>
  <si>
    <t xml:space="preserve">https://app.clickup.com/t/86b75wcja</t>
  </si>
  <si>
    <t xml:space="preserve">[Fénix] Información - Encabezados Fénix</t>
  </si>
  <si>
    <t xml:space="preserve">Mattews</t>
  </si>
  <si>
    <t xml:space="preserve">https://app.clickup.com/t/86b765dcg</t>
  </si>
  <si>
    <t xml:space="preserve">[Dejusticia] Error al incrustar publicaciones de X en notas con código HTML</t>
  </si>
  <si>
    <t xml:space="preserve">https://app.clickup.com/t/86b76hcmy</t>
  </si>
  <si>
    <t xml:space="preserve">Add amazon credentials for escr account to enable file migration to s3</t>
  </si>
  <si>
    <t xml:space="preserve">https://app.clickup.com/t/86b76p0e5</t>
  </si>
  <si>
    <t xml:space="preserve">[Dejusticia] Error al cargar imágenes en una columna de la página</t>
  </si>
  <si>
    <t xml:space="preserve">https://app.clickup.com/t/86b775w6r</t>
  </si>
  <si>
    <t xml:space="preserve">Grant deploycloud access to mattews for wordpress logs and django shell</t>
  </si>
  <si>
    <t xml:space="preserve">https://app.clickup.com/t/86b785dq0</t>
  </si>
  <si>
    <t xml:space="preserve">[Dejusticia] Botón "Aplique" desconfigurado en página del curso Litigio y Tecnología 2025</t>
  </si>
  <si>
    <t xml:space="preserve">https://app.clickup.com/t/86b78cd3k</t>
  </si>
  <si>
    <t xml:space="preserve">[NULAB]: Fallo en muestras LIMS</t>
  </si>
  <si>
    <t xml:space="preserve">https://app.clickup.com/t/86b7944rj</t>
  </si>
  <si>
    <t xml:space="preserve">[Dejusticia] Nuevo filtro “Idioma” en publicaciones</t>
  </si>
  <si>
    <t xml:space="preserve">https://app.clickup.com/t/86b79mp69</t>
  </si>
  <si>
    <t xml:space="preserve">[Tabby] Error 500 at Merchant Editing</t>
  </si>
  <si>
    <t xml:space="preserve">https://app.clickup.com/t/86b79z4u9</t>
  </si>
  <si>
    <t xml:space="preserve">[Faktur] Revisión y eliminación del espacio faktur-staging</t>
  </si>
  <si>
    <t xml:space="preserve">https://app.clickup.com/t/86b7bbube</t>
  </si>
  <si>
    <t xml:space="preserve">[Dejusticia] Fallo en la programación de publicación de notas</t>
  </si>
  <si>
    <t xml:space="preserve">https://app.clickup.com/t/86b7c8qda</t>
  </si>
  <si>
    <t xml:space="preserve">[IDK] Validar funcionamiento del filtro Tag en reporte global</t>
  </si>
  <si>
    <t xml:space="preserve">https://app.clickup.com/t/86b7cb0tn</t>
  </si>
  <si>
    <t xml:space="preserve">Analizar y Lombana</t>
  </si>
  <si>
    <t xml:space="preserve">[Analizar  y Lombana] Problema al ingresar a la app de encuesas - Raquel Lombana</t>
  </si>
  <si>
    <t xml:space="preserve">https://app.clickup.com/t/86b7c0dg3</t>
  </si>
  <si>
    <t xml:space="preserve">[Analizar y Lombana] Apoyo generación de Link para encuesta</t>
  </si>
  <si>
    <t xml:space="preserve">https://app.clickup.com/t/86b7cgjzk</t>
  </si>
  <si>
    <t xml:space="preserve">[Analizar y Lombana] Error al tomar foto en encuesta de campo</t>
  </si>
  <si>
    <t xml:space="preserve">https://app.clickup.com/t/86b7cvuqz</t>
  </si>
  <si>
    <t xml:space="preserve">[Dejusticia] Elementos de Columnas desalineados</t>
  </si>
  <si>
    <t xml:space="preserve">https://app.clickup.com/t/86b7ctq75</t>
  </si>
  <si>
    <t xml:space="preserve">Invite bestefas.di@gmail.com to pm_ohm chat</t>
  </si>
  <si>
    <t xml:space="preserve">https://app.clickup.com/t/86b7czudw</t>
  </si>
  <si>
    <t xml:space="preserve">[FA] Issue adding file upload option in the registration form</t>
  </si>
  <si>
    <t xml:space="preserve">https://app.clickup.com/t/86b7depwp</t>
  </si>
  <si>
    <t xml:space="preserve">[Faktur] Agregar nuevos campos reporte CSV mandante principal</t>
  </si>
  <si>
    <t xml:space="preserve">https://app.clickup.com/t/86b7cvqbj</t>
  </si>
  <si>
    <t xml:space="preserve">[FA] Hints &amp; Tips in Dentistry’ videos are not showing on iPhone</t>
  </si>
  <si>
    <t xml:space="preserve">https://app.clickup.com/t/86b7e41xq</t>
  </si>
  <si>
    <t xml:space="preserve">[Dejusticia] Creación de perfiles individuales para el equipo de desarrollo</t>
  </si>
  <si>
    <t xml:space="preserve">https://app.clickup.com/t/86b7e0hv5</t>
  </si>
  <si>
    <t xml:space="preserve">[Fénix] URGENTE - ERROR CARGUE ARCHIVO NUTRIAVICOLA</t>
  </si>
  <si>
    <t xml:space="preserve">https://app.clickup.com/t/86b7e0q4e</t>
  </si>
  <si>
    <t xml:space="preserve">Configurar conexión a servidor de development fenix en deploycloud</t>
  </si>
  <si>
    <t xml:space="preserve">https://app.clickup.com/t/86b7e6np4</t>
  </si>
  <si>
    <t xml:space="preserve">[Analizar y Lombana] Optimización del formulario para permitir varias encuestas por dispositivo</t>
  </si>
  <si>
    <t xml:space="preserve">https://app.clickup.com/t/86b7e6k1r</t>
  </si>
  <si>
    <t xml:space="preserve">[Analizar y Lombana] Ajuste de zona horaria App Encuestas</t>
  </si>
  <si>
    <t xml:space="preserve">https://app.clickup.com/t/86b7e6hma</t>
  </si>
  <si>
    <t xml:space="preserve">[Nulab] Consulta sobre obtención de métricas de análisis</t>
  </si>
  <si>
    <t xml:space="preserve">https://app.clickup.com/t/86b7ee1g0</t>
  </si>
  <si>
    <t xml:space="preserve">[Faktur] Faktur está homologando mal los códigos de producto</t>
  </si>
  <si>
    <t xml:space="preserve">https://app.clickup.com/t/86b7eff0c</t>
  </si>
  <si>
    <t xml:space="preserve">[Faktur] Nombres con tildes o “ñ” se guardan incorrectamente y generan archivos .csv con datos erróneos</t>
  </si>
  <si>
    <t xml:space="preserve">https://app.clickup.com/t/86b7efpe2</t>
  </si>
  <si>
    <t xml:space="preserve">[NCARB] Unpublished Pages Appearing on Website</t>
  </si>
  <si>
    <t xml:space="preserve">https://app.clickup.com/t/86b7f5hne</t>
  </si>
  <si>
    <t xml:space="preserve">Fix database connection issue for geosigingenieria.com</t>
  </si>
  <si>
    <t xml:space="preserve">https://app.clickup.com/t/86b7gu2v6</t>
  </si>
  <si>
    <t xml:space="preserve">[NCARB] Redirect Files</t>
  </si>
  <si>
    <t xml:space="preserve">https://app.clickup.com/t/86b7h7x9b</t>
  </si>
  <si>
    <t xml:space="preserve">Set up a meeting to create a new sentry project space </t>
  </si>
  <si>
    <t xml:space="preserve">https://app.clickup.com/t/86b7hb8dj</t>
  </si>
  <si>
    <t xml:space="preserve">[WLW] Google Workspace setting</t>
  </si>
  <si>
    <t xml:space="preserve">https://app.clickup.com/t/86b7hba5f</t>
  </si>
  <si>
    <t xml:space="preserve">[IT] Acceso a credenciales de Front (producción)</t>
  </si>
  <si>
    <t xml:space="preserve">In progress</t>
  </si>
  <si>
    <t xml:space="preserve">https://app.clickup.com/t/86b7jweu7</t>
  </si>
  <si>
    <t xml:space="preserve">[Nulab] Revisión y pruebas del flujo de Datos Primarios</t>
  </si>
  <si>
    <t xml:space="preserve">https://app.clickup.com/t/86b7km2c0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</si>
</sst>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m/d/yyyy"/>
    <numFmt numFmtId="167" formatCode="#,##0_);\(#,##0\)"/>
    <numFmt numFmtId="168" formatCode="[h]:mm:ss"/>
    <numFmt numFmtId="169" formatCode="#,##0.00"/>
    <numFmt numFmtId="170" formatCode="h:mm:ss"/>
    <numFmt numFmtId="171" formatCode="General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Play"/>
      <family val="0"/>
      <charset val="1"/>
    </font>
    <font>
      <sz val="8"/>
      <color theme="1"/>
      <name val="Play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434343"/>
      <name val="Roboto"/>
      <family val="0"/>
      <charset val="1"/>
    </font>
    <font>
      <u val="single"/>
      <sz val="11"/>
      <color rgb="FF0000FF"/>
      <name val="Roboto"/>
      <family val="0"/>
      <charset val="1"/>
    </font>
    <font>
      <sz val="11"/>
      <color rgb="FF000000"/>
      <name val="Roboto"/>
      <family val="0"/>
      <charset val="1"/>
    </font>
    <font>
      <u val="single"/>
      <sz val="11"/>
      <color rgb="FF0000FF"/>
      <name val="Cambria"/>
      <family val="0"/>
      <charset val="1"/>
    </font>
    <font>
      <sz val="10"/>
      <name val="Arial"/>
      <family val="2"/>
    </font>
    <font>
      <sz val="9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434343"/>
      <name val="Roboto"/>
      <family val="0"/>
      <charset val="1"/>
    </font>
    <font>
      <sz val="11"/>
      <color rgb="FF6A2723"/>
      <name val="Roboto"/>
      <family val="0"/>
      <charset val="1"/>
    </font>
    <font>
      <b val="true"/>
      <u val="single"/>
      <sz val="11"/>
      <color rgb="FF0000FF"/>
      <name val="Roboto"/>
      <family val="0"/>
      <charset val="1"/>
    </font>
    <font>
      <sz val="11"/>
      <color rgb="FF000000"/>
      <name val="Arial"/>
      <family val="0"/>
      <charset val="1"/>
    </font>
    <font>
      <sz val="8"/>
      <color theme="1"/>
      <name val="Arial"/>
      <family val="0"/>
      <charset val="1"/>
    </font>
    <font>
      <u val="single"/>
      <sz val="11"/>
      <color rgb="FF43434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EAD1DC"/>
        <bgColor rgb="FFFFCC99"/>
      </patternFill>
    </fill>
    <fill>
      <patternFill patternType="solid">
        <fgColor rgb="FFD5A6BD"/>
        <bgColor rgb="FFCC99FF"/>
      </patternFill>
    </fill>
    <fill>
      <patternFill patternType="solid">
        <fgColor rgb="FFF8F9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E222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8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EAD1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6A27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E222F"/>
      <rgbColor rgb="FF333300"/>
      <rgbColor rgb="FF6A2723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bril" displayName="Abril" ref="A1:O68" headerRowCount="1" totalsRowCount="0" totalsRowShown="0">
  <tableColumns count="15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QA"/>
    <tableColumn id="15" name="OBSERVACIONES"/>
  </tableColumns>
</table>
</file>

<file path=xl/tables/table2.xml><?xml version="1.0" encoding="utf-8"?>
<table xmlns="http://schemas.openxmlformats.org/spreadsheetml/2006/main" id="2" name="Abril_2" displayName="Abril_2" ref="A1:O68" headerRowCount="1" totalsRowCount="0" totalsRowShown="0">
  <tableColumns count="15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QA"/>
    <tableColumn id="15" name="OBSERVACIONES"/>
  </tableColumns>
</table>
</file>

<file path=xl/tables/table3.xml><?xml version="1.0" encoding="utf-8"?>
<table xmlns="http://schemas.openxmlformats.org/spreadsheetml/2006/main" id="3" name="Abril_3" displayName="Abril_3" ref="A1:N53" headerRowCount="1" totalsRowCount="0" totalsRowShown="0">
  <tableColumns count="14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OBSERVACIONES"/>
  </tableColumns>
</table>
</file>

<file path=xl/tables/table4.xml><?xml version="1.0" encoding="utf-8"?>
<table xmlns="http://schemas.openxmlformats.org/spreadsheetml/2006/main" id="4" name="Abril_4" displayName="Abril_4" ref="A1:N56" headerRowCount="1" totalsRowCount="0" totalsRowShown="0">
  <tableColumns count="14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OBSERVACIONES"/>
  </tableColumns>
</table>
</file>

<file path=xl/tables/table5.xml><?xml version="1.0" encoding="utf-8"?>
<table xmlns="http://schemas.openxmlformats.org/spreadsheetml/2006/main" id="5" name="Abril_5" displayName="Abril_5" ref="A1:N64" headerRowCount="1" totalsRowCount="0" totalsRowShown="0">
  <tableColumns count="14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OBSERVACIONES"/>
  </tableColumns>
</table>
</file>

<file path=xl/tables/table6.xml><?xml version="1.0" encoding="utf-8"?>
<table xmlns="http://schemas.openxmlformats.org/spreadsheetml/2006/main" id="6" name="Abril_6" displayName="Abril_6" ref="A1:M37" headerRowCount="1" totalsRowCount="0" totalsRowShown="0">
  <autoFilter ref="A1:M37"/>
  <tableColumns count="13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</tableColumns>
</table>
</file>

<file path=xl/tables/table7.xml><?xml version="1.0" encoding="utf-8"?>
<table xmlns="http://schemas.openxmlformats.org/spreadsheetml/2006/main" id="7" name="Abril_7" displayName="Abril_7" ref="A1:M35" headerRowCount="1" totalsRowCount="0" totalsRowShown="0">
  <autoFilter ref="A1:M35"/>
  <tableColumns count="13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</tableColumns>
</table>
</file>

<file path=xl/tables/table8.xml><?xml version="1.0" encoding="utf-8"?>
<table xmlns="http://schemas.openxmlformats.org/spreadsheetml/2006/main" id="8" name="Abril_8" displayName="Abril_8" ref="A1:M39" headerRowCount="1" totalsRowCount="0" totalsRowShown="0">
  <tableColumns count="13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</tableColumns>
</table>
</file>

<file path=xl/tables/table9.xml><?xml version="1.0" encoding="utf-8"?>
<table xmlns="http://schemas.openxmlformats.org/spreadsheetml/2006/main" id="9" name="Enero" displayName="Enero" ref="A1:O83" headerRowCount="1" totalsRowCount="0" totalsRowShown="0">
  <autoFilter ref="A1:O83">
    <filterColumn colId="7">
      <filters>
        <filter val="Carlos M"/>
        <filter val="Mateo"/>
        <filter val="Diego"/>
        <filter val="José"/>
        <filter val="Iván"/>
        <filter val="Héctor"/>
        <filter val="Carlos"/>
        <filter val="Andrés"/>
      </filters>
    </filterColumn>
  </autoFilter>
  <tableColumns count="15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QA"/>
    <tableColumn id="15" name="OBSERVACIONES"/>
  </tableColumns>
</table>
</file>

<file path=xl/tables/table10.xml><?xml version="1.0" encoding="utf-8"?>
<table xmlns="http://schemas.openxmlformats.org/spreadsheetml/2006/main" id="10" name="Febrero" displayName="Febrero" ref="A1:O78" headerRowCount="1" totalsRowCount="0" totalsRowShown="0">
  <autoFilter ref="A1:O78">
    <filterColumn colId="6">
      <filters>
        <filter val="Urgente"/>
        <filter val="Baja"/>
        <filter val="Normal"/>
      </filters>
    </filterColumn>
  </autoFilter>
  <tableColumns count="15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QA"/>
    <tableColumn id="15" name="OBSERVACIONES"/>
  </tableColumns>
</table>
</file>

<file path=xl/tables/table11.xml><?xml version="1.0" encoding="utf-8"?>
<table xmlns="http://schemas.openxmlformats.org/spreadsheetml/2006/main" id="11" name="Marzo" displayName="Marzo" ref="A1:O65" headerRowCount="1" totalsRowCount="0" totalsRowShown="0">
  <tableColumns count="15">
    <tableColumn id="1" name="FECHA DE SOLICITUD"/>
    <tableColumn id="2" name="SPRINT"/>
    <tableColumn id="3" name="DÍA"/>
    <tableColumn id="4" name="CLIENTE"/>
    <tableColumn id="5" name="TIPO DE SOLICITUD"/>
    <tableColumn id="6" name="TICKET"/>
    <tableColumn id="7" name="PRIORIDAD"/>
    <tableColumn id="8" name="ASIGNACIÓN"/>
    <tableColumn id="9" name="ESTADO"/>
    <tableColumn id="10" name="FECHA DE SOLUCIÓN"/>
    <tableColumn id="11" name="SP"/>
    <tableColumn id="12" name="TIEMPO DE SOLUCIÓN"/>
    <tableColumn id="13" name="ENLACE CLICKUP"/>
    <tableColumn id="14" name="QA"/>
    <tableColumn id="15" name="OBSERVACIONES"/>
  </tableColumns>
</table>
</file>

<file path=xl/tables/table12.xml><?xml version="1.0" encoding="utf-8"?>
<table xmlns="http://schemas.openxmlformats.org/spreadsheetml/2006/main" id="12" name="Table_1" displayName="Table_1" ref="A61:O63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3.xml><?xml version="1.0" encoding="utf-8"?>
<table xmlns="http://schemas.openxmlformats.org/spreadsheetml/2006/main" id="13" name="Table_2" displayName="Table_2" ref="A64:O66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4.xml><?xml version="1.0" encoding="utf-8"?>
<table xmlns="http://schemas.openxmlformats.org/spreadsheetml/2006/main" id="14" name="Table_3" displayName="Table_3" ref="A67:O69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5.xml><?xml version="1.0" encoding="utf-8"?>
<table xmlns="http://schemas.openxmlformats.org/spreadsheetml/2006/main" id="15" name="Table_4" displayName="Table_4" ref="A70:O72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6.xml><?xml version="1.0" encoding="utf-8"?>
<table xmlns="http://schemas.openxmlformats.org/spreadsheetml/2006/main" id="16" name="Table_5" displayName="Table_5" ref="A73:O75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7.xml><?xml version="1.0" encoding="utf-8"?>
<table xmlns="http://schemas.openxmlformats.org/spreadsheetml/2006/main" id="17" name="Table_6" displayName="Table_6" ref="A76:O78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8.xml><?xml version="1.0" encoding="utf-8"?>
<table xmlns="http://schemas.openxmlformats.org/spreadsheetml/2006/main" id="18" name="Table_7" displayName="Table_7" ref="A79:O80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19.xml><?xml version="1.0" encoding="utf-8"?>
<table xmlns="http://schemas.openxmlformats.org/spreadsheetml/2006/main" id="19" name="Table_8" displayName="Table_8" ref="A81:O81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ables/table20.xml><?xml version="1.0" encoding="utf-8"?>
<table xmlns="http://schemas.openxmlformats.org/spreadsheetml/2006/main" id="20" name="Table_9" displayName="Table_9" ref="A82:O83" headerRowCount="0" totalsRowCount="0" totalsRowShown="0">
  <tableColumns count="15">
    <tableColumn id="1" name="Column1"/>
    <tableColumn id="2" name="Column15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pp.clickup.com/t/86b3bucnb" TargetMode="External"/><Relationship Id="rId3" Type="http://schemas.openxmlformats.org/officeDocument/2006/relationships/hyperlink" Target="https://app.clickup.com/t/86b3c37hr" TargetMode="External"/><Relationship Id="rId4" Type="http://schemas.openxmlformats.org/officeDocument/2006/relationships/hyperlink" Target="https://app.clickup.com/t/86b3c3bg6" TargetMode="External"/><Relationship Id="rId5" Type="http://schemas.openxmlformats.org/officeDocument/2006/relationships/hyperlink" Target="https://app.clickup.com/t/86b3c4z30" TargetMode="External"/><Relationship Id="rId6" Type="http://schemas.openxmlformats.org/officeDocument/2006/relationships/hyperlink" Target="https://app.clickup.com/t/86b3c79v1" TargetMode="External"/><Relationship Id="rId7" Type="http://schemas.openxmlformats.org/officeDocument/2006/relationships/hyperlink" Target="https://app.clickup.com/t/86b3cy3xm" TargetMode="External"/><Relationship Id="rId8" Type="http://schemas.openxmlformats.org/officeDocument/2006/relationships/hyperlink" Target="https://app.clickup.com/t/86b3cy9cc" TargetMode="External"/><Relationship Id="rId9" Type="http://schemas.openxmlformats.org/officeDocument/2006/relationships/hyperlink" Target="https://app.clickup.com/t/86b3e0ypf" TargetMode="External"/><Relationship Id="rId10" Type="http://schemas.openxmlformats.org/officeDocument/2006/relationships/hyperlink" Target="https://app.clickup.com/t/86b3e2ga2" TargetMode="External"/><Relationship Id="rId11" Type="http://schemas.openxmlformats.org/officeDocument/2006/relationships/hyperlink" Target="https://app.clickup.com/t/86b3af7hc" TargetMode="External"/><Relationship Id="rId12" Type="http://schemas.openxmlformats.org/officeDocument/2006/relationships/hyperlink" Target="https://app.clickup.com/t/86b3af0am" TargetMode="External"/><Relationship Id="rId13" Type="http://schemas.openxmlformats.org/officeDocument/2006/relationships/hyperlink" Target="https://app.clickup.com/t/86b3aeyv6" TargetMode="External"/><Relationship Id="rId14" Type="http://schemas.openxmlformats.org/officeDocument/2006/relationships/hyperlink" Target="https://app.clickup.com/t/86b3af00u" TargetMode="External"/><Relationship Id="rId15" Type="http://schemas.openxmlformats.org/officeDocument/2006/relationships/hyperlink" Target="https://app.clickup.com/t/86b3eady3" TargetMode="External"/><Relationship Id="rId16" Type="http://schemas.openxmlformats.org/officeDocument/2006/relationships/hyperlink" Target="https://app.clickup.com/t/86b3ehfyp" TargetMode="External"/><Relationship Id="rId17" Type="http://schemas.openxmlformats.org/officeDocument/2006/relationships/hyperlink" Target="https://app.clickup.com/t/86b3ejx88" TargetMode="External"/><Relationship Id="rId18" Type="http://schemas.openxmlformats.org/officeDocument/2006/relationships/hyperlink" Target="https://app.clickup.com/t/86b3ejy39" TargetMode="External"/><Relationship Id="rId19" Type="http://schemas.openxmlformats.org/officeDocument/2006/relationships/hyperlink" Target="https://app.clickup.com/t/86b3ejakv" TargetMode="External"/><Relationship Id="rId20" Type="http://schemas.openxmlformats.org/officeDocument/2006/relationships/hyperlink" Target="http://wlwilson.com/" TargetMode="External"/><Relationship Id="rId21" Type="http://schemas.openxmlformats.org/officeDocument/2006/relationships/hyperlink" Target="https://app.clickup.com/t/86b3er8tu" TargetMode="External"/><Relationship Id="rId22" Type="http://schemas.openxmlformats.org/officeDocument/2006/relationships/hyperlink" Target="https://app.clickup.com/t/86b3etpeb" TargetMode="External"/><Relationship Id="rId23" Type="http://schemas.openxmlformats.org/officeDocument/2006/relationships/hyperlink" Target="https://app.clickup.com/t/86b3f2h8k" TargetMode="External"/><Relationship Id="rId24" Type="http://schemas.openxmlformats.org/officeDocument/2006/relationships/hyperlink" Target="https://app.clickup.com/t/86b3f76by" TargetMode="External"/><Relationship Id="rId25" Type="http://schemas.openxmlformats.org/officeDocument/2006/relationships/hyperlink" Target="https://app.clickup.com/t/86b3f8f7w" TargetMode="External"/><Relationship Id="rId26" Type="http://schemas.openxmlformats.org/officeDocument/2006/relationships/hyperlink" Target="https://app.clickup.com/t/86b3fhc8f" TargetMode="External"/><Relationship Id="rId27" Type="http://schemas.openxmlformats.org/officeDocument/2006/relationships/hyperlink" Target="https://app.clickup.com/t/86b3fhemx" TargetMode="External"/><Relationship Id="rId28" Type="http://schemas.openxmlformats.org/officeDocument/2006/relationships/hyperlink" Target="https://app.clickup.com/t/86b3fjxcb" TargetMode="External"/><Relationship Id="rId29" Type="http://schemas.openxmlformats.org/officeDocument/2006/relationships/hyperlink" Target="https://app.clickup.com/t/86b3af3g4" TargetMode="External"/><Relationship Id="rId30" Type="http://schemas.openxmlformats.org/officeDocument/2006/relationships/hyperlink" Target="https://app.clickup.com/t/86b3ae4mh" TargetMode="External"/><Relationship Id="rId31" Type="http://schemas.openxmlformats.org/officeDocument/2006/relationships/hyperlink" Target="https://app.clickup.com/t/86b3advyn" TargetMode="External"/><Relationship Id="rId32" Type="http://schemas.openxmlformats.org/officeDocument/2006/relationships/hyperlink" Target="https://app.clickup.com/t/86b3gdezm" TargetMode="External"/><Relationship Id="rId33" Type="http://schemas.openxmlformats.org/officeDocument/2006/relationships/hyperlink" Target="https://app.clickup.com/t/454056/ZL-1495" TargetMode="External"/><Relationship Id="rId34" Type="http://schemas.openxmlformats.org/officeDocument/2006/relationships/hyperlink" Target="https://app.clickup.com/t/454056/ZL-1494" TargetMode="External"/><Relationship Id="rId35" Type="http://schemas.openxmlformats.org/officeDocument/2006/relationships/hyperlink" Target="https://app.clickup.com/t/86b3hmddu" TargetMode="External"/><Relationship Id="rId36" Type="http://schemas.openxmlformats.org/officeDocument/2006/relationships/hyperlink" Target="https://app.clickup.com/t/86b3hmx6p" TargetMode="External"/><Relationship Id="rId37" Type="http://schemas.openxmlformats.org/officeDocument/2006/relationships/hyperlink" Target="https://app.clickup.com/t/454056/ZL-1498" TargetMode="External"/><Relationship Id="rId38" Type="http://schemas.openxmlformats.org/officeDocument/2006/relationships/hyperlink" Target="https://app.clickup.com/t/86b3hrffz" TargetMode="External"/><Relationship Id="rId39" Type="http://schemas.openxmlformats.org/officeDocument/2006/relationships/hyperlink" Target="https://app.clickup.com/t/86b3j0g01" TargetMode="External"/><Relationship Id="rId40" Type="http://schemas.openxmlformats.org/officeDocument/2006/relationships/hyperlink" Target="https://app.clickup.com/t/86b3j2ddc" TargetMode="External"/><Relationship Id="rId41" Type="http://schemas.openxmlformats.org/officeDocument/2006/relationships/hyperlink" Target="https://app.clickup.com/t/86b3j2nkv" TargetMode="External"/><Relationship Id="rId42" Type="http://schemas.openxmlformats.org/officeDocument/2006/relationships/hyperlink" Target="https://app.clickup.com/t/86b3j8d88" TargetMode="External"/><Relationship Id="rId43" Type="http://schemas.openxmlformats.org/officeDocument/2006/relationships/hyperlink" Target="https://app.clickup.com/t/86b3k7g5t" TargetMode="External"/><Relationship Id="rId44" Type="http://schemas.openxmlformats.org/officeDocument/2006/relationships/hyperlink" Target="https://app.clickup.com/t/86b3k8cev" TargetMode="External"/><Relationship Id="rId45" Type="http://schemas.openxmlformats.org/officeDocument/2006/relationships/hyperlink" Target="https://app.clickup.com/t/86b3k91m9" TargetMode="External"/><Relationship Id="rId46" Type="http://schemas.openxmlformats.org/officeDocument/2006/relationships/hyperlink" Target="https://app.clickup.com/t/86b3k8wf0" TargetMode="External"/><Relationship Id="rId47" Type="http://schemas.openxmlformats.org/officeDocument/2006/relationships/hyperlink" Target="https://app.clickup.com/t/86b3k93qz" TargetMode="External"/><Relationship Id="rId48" Type="http://schemas.openxmlformats.org/officeDocument/2006/relationships/hyperlink" Target="https://app.clickup.com/t/454056/SLA-1143" TargetMode="External"/><Relationship Id="rId49" Type="http://schemas.openxmlformats.org/officeDocument/2006/relationships/hyperlink" Target="https://app.clickup.com/t/86b3k9wx2" TargetMode="External"/><Relationship Id="rId50" Type="http://schemas.openxmlformats.org/officeDocument/2006/relationships/hyperlink" Target="https://app.clickup.com/t/454056/ZL-1509" TargetMode="External"/><Relationship Id="rId51" Type="http://schemas.openxmlformats.org/officeDocument/2006/relationships/hyperlink" Target="https://app.clickup.com/t/86b3kqn2g" TargetMode="External"/><Relationship Id="rId52" Type="http://schemas.openxmlformats.org/officeDocument/2006/relationships/hyperlink" Target="https://app.clickup.com/t/86b3kubac" TargetMode="External"/><Relationship Id="rId53" Type="http://schemas.openxmlformats.org/officeDocument/2006/relationships/hyperlink" Target="https://app.clickup.com/t/86b3kuhb0" TargetMode="External"/><Relationship Id="rId54" Type="http://schemas.openxmlformats.org/officeDocument/2006/relationships/hyperlink" Target="https://app.clickup.com/t/86b3kujp9" TargetMode="External"/><Relationship Id="rId55" Type="http://schemas.openxmlformats.org/officeDocument/2006/relationships/hyperlink" Target="https://app.clickup.com/t/86b3ky7y3" TargetMode="External"/><Relationship Id="rId56" Type="http://schemas.openxmlformats.org/officeDocument/2006/relationships/hyperlink" Target="https://app.clickup.com/t/86b3m5rj1" TargetMode="External"/><Relationship Id="rId57" Type="http://schemas.openxmlformats.org/officeDocument/2006/relationships/hyperlink" Target="https://app.clickup.com/t/86b3m4tvn" TargetMode="External"/><Relationship Id="rId58" Type="http://schemas.openxmlformats.org/officeDocument/2006/relationships/hyperlink" Target="https://app.clickup.com/t/86b3m5rj1" TargetMode="External"/><Relationship Id="rId59" Type="http://schemas.openxmlformats.org/officeDocument/2006/relationships/hyperlink" Target="https://app.clickup.com/t/86b3m7kvn" TargetMode="External"/><Relationship Id="rId60" Type="http://schemas.openxmlformats.org/officeDocument/2006/relationships/hyperlink" Target="https://app.clickup.com/t/86b3m937r" TargetMode="External"/><Relationship Id="rId61" Type="http://schemas.openxmlformats.org/officeDocument/2006/relationships/hyperlink" Target="https://app.clickup.com/t/86b3n141u" TargetMode="External"/><Relationship Id="rId62" Type="http://schemas.openxmlformats.org/officeDocument/2006/relationships/hyperlink" Target="https://app.clickup.com/t/86b3n17f3" TargetMode="External"/><Relationship Id="rId63" Type="http://schemas.openxmlformats.org/officeDocument/2006/relationships/hyperlink" Target="https://app.clickup.com/t/86b3mykcc" TargetMode="External"/><Relationship Id="rId64" Type="http://schemas.openxmlformats.org/officeDocument/2006/relationships/hyperlink" Target="https://app.clickup.com/t/86b3ncm72" TargetMode="External"/><Relationship Id="rId65" Type="http://schemas.openxmlformats.org/officeDocument/2006/relationships/hyperlink" Target="https://app.clickup.com/t/86b3ncqt8" TargetMode="External"/><Relationship Id="rId66" Type="http://schemas.openxmlformats.org/officeDocument/2006/relationships/hyperlink" Target="https://app.clickup.com/t/86b3nd8qk" TargetMode="External"/><Relationship Id="rId67" Type="http://schemas.openxmlformats.org/officeDocument/2006/relationships/hyperlink" Target="https://app.clickup.com/t/86b3netme" TargetMode="External"/><Relationship Id="rId68" Type="http://schemas.openxmlformats.org/officeDocument/2006/relationships/hyperlink" Target="https://app.clickup.com/t/86b3nxfpd" TargetMode="External"/><Relationship Id="rId69" Type="http://schemas.openxmlformats.org/officeDocument/2006/relationships/hyperlink" Target="https://app.clickup.com/t/86b3pfgvj" TargetMode="External"/><Relationship Id="rId70" Type="http://schemas.openxmlformats.org/officeDocument/2006/relationships/hyperlink" Target="https://app.clickup.com/t/86b3pg96u" TargetMode="External"/><Relationship Id="rId71" Type="http://schemas.openxmlformats.org/officeDocument/2006/relationships/hyperlink" Target="https://app.clickup.com/t/86b3pv4xn" TargetMode="External"/><Relationship Id="rId72" Type="http://schemas.openxmlformats.org/officeDocument/2006/relationships/hyperlink" Target="https://app.clickup.com/t/86b3q5m1v" TargetMode="External"/><Relationship Id="rId73" Type="http://schemas.openxmlformats.org/officeDocument/2006/relationships/hyperlink" Target="https://app.clickup.com/t/86b3q7y7r" TargetMode="External"/><Relationship Id="rId74" Type="http://schemas.openxmlformats.org/officeDocument/2006/relationships/hyperlink" Target="https://app.clickup.com/t/86b3q6tv6" TargetMode="External"/><Relationship Id="rId75" Type="http://schemas.openxmlformats.org/officeDocument/2006/relationships/hyperlink" Target="https://app.clickup.com/t/86b3qfu62" TargetMode="External"/><Relationship Id="rId76" Type="http://schemas.openxmlformats.org/officeDocument/2006/relationships/hyperlink" Target="https://app.clickup.com/t/86b3qnbgg" TargetMode="External"/><Relationship Id="rId77" Type="http://schemas.openxmlformats.org/officeDocument/2006/relationships/hyperlink" Target="https://app.clickup.com/t/86b3r03na" TargetMode="External"/><Relationship Id="rId78" Type="http://schemas.openxmlformats.org/officeDocument/2006/relationships/hyperlink" Target="https://app.clickup.com/t/86b3r8gf9" TargetMode="External"/><Relationship Id="rId79" Type="http://schemas.openxmlformats.org/officeDocument/2006/relationships/hyperlink" Target="https://app.clickup.com/t/86b3rhcu6" TargetMode="External"/><Relationship Id="rId80" Type="http://schemas.openxmlformats.org/officeDocument/2006/relationships/hyperlink" Target="https://app.clickup.com/t/86b3rhfdr" TargetMode="External"/><Relationship Id="rId81" Type="http://schemas.openxmlformats.org/officeDocument/2006/relationships/hyperlink" Target="https://app.clickup.com/t/86b3rk6kx" TargetMode="External"/><Relationship Id="rId82" Type="http://schemas.openxmlformats.org/officeDocument/2006/relationships/hyperlink" Target="https://app.clickup.com/t/86b3rpkqf" TargetMode="External"/><Relationship Id="rId83" Type="http://schemas.openxmlformats.org/officeDocument/2006/relationships/vmlDrawing" Target="../drawings/vmlDrawing1.vml"/><Relationship Id="rId84" Type="http://schemas.openxmlformats.org/officeDocument/2006/relationships/table" Target="../tables/table9.xml"/><Relationship Id="rId85" Type="http://schemas.openxmlformats.org/officeDocument/2006/relationships/table" Target="../tables/table12.xml"/><Relationship Id="rId86" Type="http://schemas.openxmlformats.org/officeDocument/2006/relationships/table" Target="../tables/table13.xml"/><Relationship Id="rId87" Type="http://schemas.openxmlformats.org/officeDocument/2006/relationships/table" Target="../tables/table14.xml"/><Relationship Id="rId88" Type="http://schemas.openxmlformats.org/officeDocument/2006/relationships/table" Target="../tables/table15.xml"/><Relationship Id="rId89" Type="http://schemas.openxmlformats.org/officeDocument/2006/relationships/table" Target="../tables/table16.xml"/><Relationship Id="rId90" Type="http://schemas.openxmlformats.org/officeDocument/2006/relationships/table" Target="../tables/table17.xml"/><Relationship Id="rId91" Type="http://schemas.openxmlformats.org/officeDocument/2006/relationships/table" Target="../tables/table18.xml"/><Relationship Id="rId92" Type="http://schemas.openxmlformats.org/officeDocument/2006/relationships/table" Target="../tables/table19.xml"/><Relationship Id="rId93" Type="http://schemas.openxmlformats.org/officeDocument/2006/relationships/table" Target="../tables/table2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app.clickup.com/t/86b3t8dvg" TargetMode="External"/><Relationship Id="rId3" Type="http://schemas.openxmlformats.org/officeDocument/2006/relationships/hyperlink" Target="https://app.clickup.com/t/86b3t8gqf" TargetMode="External"/><Relationship Id="rId4" Type="http://schemas.openxmlformats.org/officeDocument/2006/relationships/hyperlink" Target="https://app.clickup.com/t/86b3tau9k" TargetMode="External"/><Relationship Id="rId5" Type="http://schemas.openxmlformats.org/officeDocument/2006/relationships/hyperlink" Target="https://app.clickup.com/t/86b3tb1ud" TargetMode="External"/><Relationship Id="rId6" Type="http://schemas.openxmlformats.org/officeDocument/2006/relationships/hyperlink" Target="https://app.clickup.com/t/86b3tbv0k" TargetMode="External"/><Relationship Id="rId7" Type="http://schemas.openxmlformats.org/officeDocument/2006/relationships/hyperlink" Target="https://app.clickup.com/t/86b3tcxq2" TargetMode="External"/><Relationship Id="rId8" Type="http://schemas.openxmlformats.org/officeDocument/2006/relationships/hyperlink" Target="https://app.clickup.com/t/86b3thee4" TargetMode="External"/><Relationship Id="rId9" Type="http://schemas.openxmlformats.org/officeDocument/2006/relationships/hyperlink" Target="https://app.clickup.com/t/86b3trrjj" TargetMode="External"/><Relationship Id="rId10" Type="http://schemas.openxmlformats.org/officeDocument/2006/relationships/hyperlink" Target="https://app.clickup.com/t/86b3tv5ex" TargetMode="External"/><Relationship Id="rId11" Type="http://schemas.openxmlformats.org/officeDocument/2006/relationships/hyperlink" Target="https://app.clickup.com/t/86b3tx14g" TargetMode="External"/><Relationship Id="rId12" Type="http://schemas.openxmlformats.org/officeDocument/2006/relationships/hyperlink" Target="https://app.clickup.com/t/86b3twku5" TargetMode="External"/><Relationship Id="rId13" Type="http://schemas.openxmlformats.org/officeDocument/2006/relationships/hyperlink" Target="https://app.clickup.com/t/86b3u30at" TargetMode="External"/><Relationship Id="rId14" Type="http://schemas.openxmlformats.org/officeDocument/2006/relationships/hyperlink" Target="https://app.clickup.com/t/86b3uau0y" TargetMode="External"/><Relationship Id="rId15" Type="http://schemas.openxmlformats.org/officeDocument/2006/relationships/hyperlink" Target="https://app.clickup.com/t/86b3u58hk" TargetMode="External"/><Relationship Id="rId16" Type="http://schemas.openxmlformats.org/officeDocument/2006/relationships/hyperlink" Target="https://app.clickup.com/t/86b3uea3c" TargetMode="External"/><Relationship Id="rId17" Type="http://schemas.openxmlformats.org/officeDocument/2006/relationships/hyperlink" Target="https://app.clickup.com/t/86b3ufnrw" TargetMode="External"/><Relationship Id="rId18" Type="http://schemas.openxmlformats.org/officeDocument/2006/relationships/hyperlink" Target="https://app.clickup.com/t/86b3uyt9k" TargetMode="External"/><Relationship Id="rId19" Type="http://schemas.openxmlformats.org/officeDocument/2006/relationships/hyperlink" Target="https://app.clickup.com/t/86b3uyt2v" TargetMode="External"/><Relationship Id="rId20" Type="http://schemas.openxmlformats.org/officeDocument/2006/relationships/hyperlink" Target="https://app.clickup.com/t/86b3v2z2m" TargetMode="External"/><Relationship Id="rId21" Type="http://schemas.openxmlformats.org/officeDocument/2006/relationships/hyperlink" Target="https://app.clickup.com/t/86b3vhmz7" TargetMode="External"/><Relationship Id="rId22" Type="http://schemas.openxmlformats.org/officeDocument/2006/relationships/hyperlink" Target="https://app.clickup.com/t/86b3vg52e" TargetMode="External"/><Relationship Id="rId23" Type="http://schemas.openxmlformats.org/officeDocument/2006/relationships/hyperlink" Target="https://app.clickup.com/t/86b3vpyvu" TargetMode="External"/><Relationship Id="rId24" Type="http://schemas.openxmlformats.org/officeDocument/2006/relationships/hyperlink" Target="https://app.clickup.com/t/86b3vn8mw" TargetMode="External"/><Relationship Id="rId25" Type="http://schemas.openxmlformats.org/officeDocument/2006/relationships/hyperlink" Target="https://app.clickup.com/t/86b3vk7hz" TargetMode="External"/><Relationship Id="rId26" Type="http://schemas.openxmlformats.org/officeDocument/2006/relationships/hyperlink" Target="https://app.clickup.com/t/86b3vm774" TargetMode="External"/><Relationship Id="rId27" Type="http://schemas.openxmlformats.org/officeDocument/2006/relationships/hyperlink" Target="https://app.clickup.com/t/86b3vm33e" TargetMode="External"/><Relationship Id="rId28" Type="http://schemas.openxmlformats.org/officeDocument/2006/relationships/hyperlink" Target="https://app.clickup.com/t/86b3wbtjv" TargetMode="External"/><Relationship Id="rId29" Type="http://schemas.openxmlformats.org/officeDocument/2006/relationships/hyperlink" Target="https://app.clickup.com/t/86b3wpkdj" TargetMode="External"/><Relationship Id="rId30" Type="http://schemas.openxmlformats.org/officeDocument/2006/relationships/hyperlink" Target="https://app.clickup.com/t/86b3wr9rg" TargetMode="External"/><Relationship Id="rId31" Type="http://schemas.openxmlformats.org/officeDocument/2006/relationships/hyperlink" Target="https://app.clickup.com/t/86b3x5uzq" TargetMode="External"/><Relationship Id="rId32" Type="http://schemas.openxmlformats.org/officeDocument/2006/relationships/hyperlink" Target="https://app.clickup.com/t/86b3x9jmx" TargetMode="External"/><Relationship Id="rId33" Type="http://schemas.openxmlformats.org/officeDocument/2006/relationships/hyperlink" Target="https://app.clickup.com/t/86b3xa3bm" TargetMode="External"/><Relationship Id="rId34" Type="http://schemas.openxmlformats.org/officeDocument/2006/relationships/hyperlink" Target="https://app.clickup.com/t/86b3xbe7u" TargetMode="External"/><Relationship Id="rId35" Type="http://schemas.openxmlformats.org/officeDocument/2006/relationships/hyperlink" Target="https://app.clickup.com/t/86b3xdnyf" TargetMode="External"/><Relationship Id="rId36" Type="http://schemas.openxmlformats.org/officeDocument/2006/relationships/hyperlink" Target="https://app.clickup.com/t/86b3xdu8g" TargetMode="External"/><Relationship Id="rId37" Type="http://schemas.openxmlformats.org/officeDocument/2006/relationships/hyperlink" Target="https://app.clickup.com/t/86b3xkmtv" TargetMode="External"/><Relationship Id="rId38" Type="http://schemas.openxmlformats.org/officeDocument/2006/relationships/hyperlink" Target="https://app.clickup.com/t/86b3y9yhk" TargetMode="External"/><Relationship Id="rId39" Type="http://schemas.openxmlformats.org/officeDocument/2006/relationships/hyperlink" Target="https://app.clickup.com/t/86b3yuq9r" TargetMode="External"/><Relationship Id="rId40" Type="http://schemas.openxmlformats.org/officeDocument/2006/relationships/hyperlink" Target="https://app.clickup.com/t/86b3yujtc" TargetMode="External"/><Relationship Id="rId41" Type="http://schemas.openxmlformats.org/officeDocument/2006/relationships/hyperlink" Target="https://app.clickup.com/t/86b3yv6t1" TargetMode="External"/><Relationship Id="rId42" Type="http://schemas.openxmlformats.org/officeDocument/2006/relationships/hyperlink" Target="https://app.clickup.com/t/86b3z83gh" TargetMode="External"/><Relationship Id="rId43" Type="http://schemas.openxmlformats.org/officeDocument/2006/relationships/hyperlink" Target="https://app.clickup.com/t/86b3zcauf" TargetMode="External"/><Relationship Id="rId44" Type="http://schemas.openxmlformats.org/officeDocument/2006/relationships/hyperlink" Target="https://app.clickup.com/t/86b3zg1ag" TargetMode="External"/><Relationship Id="rId45" Type="http://schemas.openxmlformats.org/officeDocument/2006/relationships/hyperlink" Target="https://app.clickup.com/t/86b3zftgn" TargetMode="External"/><Relationship Id="rId46" Type="http://schemas.openxmlformats.org/officeDocument/2006/relationships/hyperlink" Target="https://app.clickup.com/t/86b3zghuq" TargetMode="External"/><Relationship Id="rId47" Type="http://schemas.openxmlformats.org/officeDocument/2006/relationships/hyperlink" Target="https://app.clickup.com/t/86b3zez8p" TargetMode="External"/><Relationship Id="rId48" Type="http://schemas.openxmlformats.org/officeDocument/2006/relationships/hyperlink" Target="https://app.clickup.com/t/86b3zv9ev" TargetMode="External"/><Relationship Id="rId49" Type="http://schemas.openxmlformats.org/officeDocument/2006/relationships/hyperlink" Target="https://app.clickup.com/t/86b401bz5" TargetMode="External"/><Relationship Id="rId50" Type="http://schemas.openxmlformats.org/officeDocument/2006/relationships/hyperlink" Target="https://app.clickup.com/t/86b3zy737" TargetMode="External"/><Relationship Id="rId51" Type="http://schemas.openxmlformats.org/officeDocument/2006/relationships/hyperlink" Target="https://app.clickup.com/t/86b40109w" TargetMode="External"/><Relationship Id="rId52" Type="http://schemas.openxmlformats.org/officeDocument/2006/relationships/hyperlink" Target="https://app.clickup.com/t/86b3zyha1" TargetMode="External"/><Relationship Id="rId53" Type="http://schemas.openxmlformats.org/officeDocument/2006/relationships/hyperlink" Target="https://app.clickup.com/t/86b3zvwhy" TargetMode="External"/><Relationship Id="rId54" Type="http://schemas.openxmlformats.org/officeDocument/2006/relationships/hyperlink" Target="https://app.clickup.com/t/86b40d55q" TargetMode="External"/><Relationship Id="rId55" Type="http://schemas.openxmlformats.org/officeDocument/2006/relationships/hyperlink" Target="https://app.clickup.com/t/86b40hn2q" TargetMode="External"/><Relationship Id="rId56" Type="http://schemas.openxmlformats.org/officeDocument/2006/relationships/hyperlink" Target="https://app.clickup.com/t/86b40hnfp" TargetMode="External"/><Relationship Id="rId57" Type="http://schemas.openxmlformats.org/officeDocument/2006/relationships/hyperlink" Target="https://app.clickup.com/t/86b40xdze" TargetMode="External"/><Relationship Id="rId58" Type="http://schemas.openxmlformats.org/officeDocument/2006/relationships/hyperlink" Target="https://app.clickup.com/t/86b40zdcp" TargetMode="External"/><Relationship Id="rId59" Type="http://schemas.openxmlformats.org/officeDocument/2006/relationships/hyperlink" Target="https://app.clickup.com/t/86b412a97" TargetMode="External"/><Relationship Id="rId60" Type="http://schemas.openxmlformats.org/officeDocument/2006/relationships/hyperlink" Target="https://app.clickup.com/t/86b412e69" TargetMode="External"/><Relationship Id="rId61" Type="http://schemas.openxmlformats.org/officeDocument/2006/relationships/hyperlink" Target="https://app.clickup.com/t/86b41pwu4" TargetMode="External"/><Relationship Id="rId62" Type="http://schemas.openxmlformats.org/officeDocument/2006/relationships/hyperlink" Target="https://app.clickup.com/t/86b41r9a9" TargetMode="External"/><Relationship Id="rId63" Type="http://schemas.openxmlformats.org/officeDocument/2006/relationships/hyperlink" Target="https://app.clickup.com/t/86b427jea" TargetMode="External"/><Relationship Id="rId64" Type="http://schemas.openxmlformats.org/officeDocument/2006/relationships/hyperlink" Target="https://app.clickup.com/t/86b4272xe" TargetMode="External"/><Relationship Id="rId65" Type="http://schemas.openxmlformats.org/officeDocument/2006/relationships/hyperlink" Target="https://app.clickup.com/t/86b42731p" TargetMode="External"/><Relationship Id="rId66" Type="http://schemas.openxmlformats.org/officeDocument/2006/relationships/hyperlink" Target="https://app.clickup.com/t/86b42e920" TargetMode="External"/><Relationship Id="rId67" Type="http://schemas.openxmlformats.org/officeDocument/2006/relationships/hyperlink" Target="https://app.clickup.com/t/86b428pkt" TargetMode="External"/><Relationship Id="rId68" Type="http://schemas.openxmlformats.org/officeDocument/2006/relationships/hyperlink" Target="https://app.clickup.com/t/86b428wve" TargetMode="External"/><Relationship Id="rId69" Type="http://schemas.openxmlformats.org/officeDocument/2006/relationships/hyperlink" Target="https://app.clickup.com/t/86b42gnr0" TargetMode="External"/><Relationship Id="rId70" Type="http://schemas.openxmlformats.org/officeDocument/2006/relationships/hyperlink" Target="https://app.clickup.com/t/86b42rf5q" TargetMode="External"/><Relationship Id="rId71" Type="http://schemas.openxmlformats.org/officeDocument/2006/relationships/hyperlink" Target="http://geosigingenieria.com/" TargetMode="External"/><Relationship Id="rId72" Type="http://schemas.openxmlformats.org/officeDocument/2006/relationships/hyperlink" Target="https://app.clickup.com/t/454056/SLA-1241" TargetMode="External"/><Relationship Id="rId73" Type="http://schemas.openxmlformats.org/officeDocument/2006/relationships/hyperlink" Target="https://app.clickup.com/t/86b42xdhe" TargetMode="External"/><Relationship Id="rId74" Type="http://schemas.openxmlformats.org/officeDocument/2006/relationships/hyperlink" Target="https://app.clickup.com/t/86b43aj8j" TargetMode="External"/><Relationship Id="rId75" Type="http://schemas.openxmlformats.org/officeDocument/2006/relationships/hyperlink" Target="https://app.clickup.com/t/86b43677q" TargetMode="External"/><Relationship Id="rId76" Type="http://schemas.openxmlformats.org/officeDocument/2006/relationships/hyperlink" Target="https://app.clickup.com/t/86b4377xq" TargetMode="External"/><Relationship Id="rId77" Type="http://schemas.openxmlformats.org/officeDocument/2006/relationships/hyperlink" Target="https://app.clickup.com/t/86b43779f" TargetMode="External"/><Relationship Id="rId78" Type="http://schemas.openxmlformats.org/officeDocument/2006/relationships/hyperlink" Target="https://app.clickup.com/t/86b43nkg4" TargetMode="External"/><Relationship Id="rId79" Type="http://schemas.openxmlformats.org/officeDocument/2006/relationships/hyperlink" Target="https://app.clickup.com/t/86b43n6df" TargetMode="External"/><Relationship Id="rId80" Type="http://schemas.openxmlformats.org/officeDocument/2006/relationships/vmlDrawing" Target="../drawings/vmlDrawing2.vml"/><Relationship Id="rId8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app.clickup.com/t/86b44hejw" TargetMode="External"/><Relationship Id="rId3" Type="http://schemas.openxmlformats.org/officeDocument/2006/relationships/hyperlink" Target="https://app.clickup.com/t/86b44h0p8" TargetMode="External"/><Relationship Id="rId4" Type="http://schemas.openxmlformats.org/officeDocument/2006/relationships/hyperlink" Target="https://app.clickup.com/t/86b44h79f" TargetMode="External"/><Relationship Id="rId5" Type="http://schemas.openxmlformats.org/officeDocument/2006/relationships/hyperlink" Target="https://app.clickup.com/t/86b44jrj0" TargetMode="External"/><Relationship Id="rId6" Type="http://schemas.openxmlformats.org/officeDocument/2006/relationships/hyperlink" Target="https://app.clickup.com/t/86b44mqhj" TargetMode="External"/><Relationship Id="rId7" Type="http://schemas.openxmlformats.org/officeDocument/2006/relationships/hyperlink" Target="https://app.clickup.com/t/86b44nhg6" TargetMode="External"/><Relationship Id="rId8" Type="http://schemas.openxmlformats.org/officeDocument/2006/relationships/hyperlink" Target="https://app.clickup.com/t/86b452d97" TargetMode="External"/><Relationship Id="rId9" Type="http://schemas.openxmlformats.org/officeDocument/2006/relationships/hyperlink" Target="http://facialart.com/" TargetMode="External"/><Relationship Id="rId10" Type="http://schemas.openxmlformats.org/officeDocument/2006/relationships/hyperlink" Target="https://app.clickup.com/t/86b452p32" TargetMode="External"/><Relationship Id="rId11" Type="http://schemas.openxmlformats.org/officeDocument/2006/relationships/hyperlink" Target="https://app.clickup.com/t/86b452yhx" TargetMode="External"/><Relationship Id="rId12" Type="http://schemas.openxmlformats.org/officeDocument/2006/relationships/hyperlink" Target="https://app.clickup.com/t/86b44d6cj" TargetMode="External"/><Relationship Id="rId13" Type="http://schemas.openxmlformats.org/officeDocument/2006/relationships/hyperlink" Target="https://app.clickup.com/t/86b453ezq" TargetMode="External"/><Relationship Id="rId14" Type="http://schemas.openxmlformats.org/officeDocument/2006/relationships/hyperlink" Target="https://app.clickup.com/t/86b45f9dr" TargetMode="External"/><Relationship Id="rId15" Type="http://schemas.openxmlformats.org/officeDocument/2006/relationships/hyperlink" Target="https://app.clickup.com/t/86b45hr7c" TargetMode="External"/><Relationship Id="rId16" Type="http://schemas.openxmlformats.org/officeDocument/2006/relationships/hyperlink" Target="https://app.clickup.com/t/86b45kmub" TargetMode="External"/><Relationship Id="rId17" Type="http://schemas.openxmlformats.org/officeDocument/2006/relationships/hyperlink" Target="https://app.clickup.com/t/86b46134n" TargetMode="External"/><Relationship Id="rId18" Type="http://schemas.openxmlformats.org/officeDocument/2006/relationships/hyperlink" Target="https://app.clickup.com/t/86b4614xr" TargetMode="External"/><Relationship Id="rId19" Type="http://schemas.openxmlformats.org/officeDocument/2006/relationships/hyperlink" Target="https://app.clickup.com/t/86b461xyu" TargetMode="External"/><Relationship Id="rId20" Type="http://schemas.openxmlformats.org/officeDocument/2006/relationships/hyperlink" Target="https://app.clickup.com/t/86b462mpz" TargetMode="External"/><Relationship Id="rId21" Type="http://schemas.openxmlformats.org/officeDocument/2006/relationships/hyperlink" Target="https://app.clickup.com/t/86b465xmt" TargetMode="External"/><Relationship Id="rId22" Type="http://schemas.openxmlformats.org/officeDocument/2006/relationships/hyperlink" Target="https://app.clickup.com/t/86b478r6v" TargetMode="External"/><Relationship Id="rId23" Type="http://schemas.openxmlformats.org/officeDocument/2006/relationships/hyperlink" Target="https://app.clickup.com/t/86b46jvqg" TargetMode="External"/><Relationship Id="rId24" Type="http://schemas.openxmlformats.org/officeDocument/2006/relationships/hyperlink" Target="https://app.clickup.com/t/86b46nkr5" TargetMode="External"/><Relationship Id="rId25" Type="http://schemas.openxmlformats.org/officeDocument/2006/relationships/hyperlink" Target="https://app.clickup.com/t/86b46ptpx" TargetMode="External"/><Relationship Id="rId26" Type="http://schemas.openxmlformats.org/officeDocument/2006/relationships/hyperlink" Target="https://app.clickup.com/t/86b46prnf" TargetMode="External"/><Relationship Id="rId27" Type="http://schemas.openxmlformats.org/officeDocument/2006/relationships/hyperlink" Target="https://app.clickup.com/t/86b46pu06" TargetMode="External"/><Relationship Id="rId28" Type="http://schemas.openxmlformats.org/officeDocument/2006/relationships/hyperlink" Target="https://app.clickup.com/t/86b47burm" TargetMode="External"/><Relationship Id="rId29" Type="http://schemas.openxmlformats.org/officeDocument/2006/relationships/hyperlink" Target="https://app.clickup.com/t/86b47bvb6" TargetMode="External"/><Relationship Id="rId30" Type="http://schemas.openxmlformats.org/officeDocument/2006/relationships/hyperlink" Target="https://app.clickup.com/t/86b48b7ud" TargetMode="External"/><Relationship Id="rId31" Type="http://schemas.openxmlformats.org/officeDocument/2006/relationships/hyperlink" Target="https://app.clickup.com/t/86b48kw88" TargetMode="External"/><Relationship Id="rId32" Type="http://schemas.openxmlformats.org/officeDocument/2006/relationships/hyperlink" Target="https://app.clickup.com/t/86b48r6nm" TargetMode="External"/><Relationship Id="rId33" Type="http://schemas.openxmlformats.org/officeDocument/2006/relationships/hyperlink" Target="https://app.clickup.com/t/86b49xyr9" TargetMode="External"/><Relationship Id="rId34" Type="http://schemas.openxmlformats.org/officeDocument/2006/relationships/hyperlink" Target="https://app.clickup.com/t/86b4a1n93" TargetMode="External"/><Relationship Id="rId35" Type="http://schemas.openxmlformats.org/officeDocument/2006/relationships/hyperlink" Target="https://app.clickup.com/t/86b49v531" TargetMode="External"/><Relationship Id="rId36" Type="http://schemas.openxmlformats.org/officeDocument/2006/relationships/hyperlink" Target="https://app.clickup.com/t/86b49xtnj" TargetMode="External"/><Relationship Id="rId37" Type="http://schemas.openxmlformats.org/officeDocument/2006/relationships/hyperlink" Target="https://app.clickup.com/t/86b49xty0" TargetMode="External"/><Relationship Id="rId38" Type="http://schemas.openxmlformats.org/officeDocument/2006/relationships/hyperlink" Target="https://app.clickup.com/t/86b49xu75" TargetMode="External"/><Relationship Id="rId39" Type="http://schemas.openxmlformats.org/officeDocument/2006/relationships/hyperlink" Target="https://app.clickup.com/t/86b49xuge" TargetMode="External"/><Relationship Id="rId40" Type="http://schemas.openxmlformats.org/officeDocument/2006/relationships/hyperlink" Target="https://app.clickup.com/t/86b49xup4" TargetMode="External"/><Relationship Id="rId41" Type="http://schemas.openxmlformats.org/officeDocument/2006/relationships/hyperlink" Target="https://app.clickup.com/t/86b49yk3k" TargetMode="External"/><Relationship Id="rId42" Type="http://schemas.openxmlformats.org/officeDocument/2006/relationships/hyperlink" Target="https://app.clickup.com/t/86b4azkhe" TargetMode="External"/><Relationship Id="rId43" Type="http://schemas.openxmlformats.org/officeDocument/2006/relationships/hyperlink" Target="https://app.clickup.com/t/86b4b3pgg" TargetMode="External"/><Relationship Id="rId44" Type="http://schemas.openxmlformats.org/officeDocument/2006/relationships/hyperlink" Target="https://app.clickup.com/t/86b4b4qr7" TargetMode="External"/><Relationship Id="rId45" Type="http://schemas.openxmlformats.org/officeDocument/2006/relationships/hyperlink" Target="https://app.clickup.com/t/86b4bcw8v" TargetMode="External"/><Relationship Id="rId46" Type="http://schemas.openxmlformats.org/officeDocument/2006/relationships/hyperlink" Target="https://app.clickup.com/t/86b4bf9fp" TargetMode="External"/><Relationship Id="rId47" Type="http://schemas.openxmlformats.org/officeDocument/2006/relationships/hyperlink" Target="https://app.clickup.com/t/86b4bfy1z" TargetMode="External"/><Relationship Id="rId48" Type="http://schemas.openxmlformats.org/officeDocument/2006/relationships/hyperlink" Target="https://app.clickup.com/t/86b4bc9md" TargetMode="External"/><Relationship Id="rId49" Type="http://schemas.openxmlformats.org/officeDocument/2006/relationships/hyperlink" Target="https://app.clickup.com/t/86b4bgtnj" TargetMode="External"/><Relationship Id="rId50" Type="http://schemas.openxmlformats.org/officeDocument/2006/relationships/hyperlink" Target="https://app.clickup.com/t/86b4byrfz" TargetMode="External"/><Relationship Id="rId51" Type="http://schemas.openxmlformats.org/officeDocument/2006/relationships/hyperlink" Target="https://app.clickup.com/t/86b4ddqmy" TargetMode="External"/><Relationship Id="rId52" Type="http://schemas.openxmlformats.org/officeDocument/2006/relationships/hyperlink" Target="https://app.clickup.com/t/86b4dh3f4" TargetMode="External"/><Relationship Id="rId53" Type="http://schemas.openxmlformats.org/officeDocument/2006/relationships/hyperlink" Target="https://app.clickup.com/t/86b4dp2pm" TargetMode="External"/><Relationship Id="rId54" Type="http://schemas.openxmlformats.org/officeDocument/2006/relationships/hyperlink" Target="https://app.clickup.com/t/86b4dwg89" TargetMode="External"/><Relationship Id="rId55" Type="http://schemas.openxmlformats.org/officeDocument/2006/relationships/hyperlink" Target="https://app.clickup.com/t/86b4dyrb2" TargetMode="External"/><Relationship Id="rId56" Type="http://schemas.openxmlformats.org/officeDocument/2006/relationships/hyperlink" Target="https://app.clickup.com/t/86b4e0p9z" TargetMode="External"/><Relationship Id="rId57" Type="http://schemas.openxmlformats.org/officeDocument/2006/relationships/hyperlink" Target="https://app.clickup.com/t/86b4ednwz" TargetMode="External"/><Relationship Id="rId58" Type="http://schemas.openxmlformats.org/officeDocument/2006/relationships/hyperlink" Target="https://app.clickup.com/t/86b4eektz" TargetMode="External"/><Relationship Id="rId59" Type="http://schemas.openxmlformats.org/officeDocument/2006/relationships/hyperlink" Target="https://app.clickup.com/t/86b4f567z" TargetMode="External"/><Relationship Id="rId60" Type="http://schemas.openxmlformats.org/officeDocument/2006/relationships/hyperlink" Target="https://app.clickup.com/t/454056/ZL-1547" TargetMode="External"/><Relationship Id="rId61" Type="http://schemas.openxmlformats.org/officeDocument/2006/relationships/hyperlink" Target="https://app.clickup.com/t/86b4f4ze6" TargetMode="External"/><Relationship Id="rId62" Type="http://schemas.openxmlformats.org/officeDocument/2006/relationships/hyperlink" Target="https://app.clickup.com/t/86b4f5tw2" TargetMode="External"/><Relationship Id="rId63" Type="http://schemas.openxmlformats.org/officeDocument/2006/relationships/hyperlink" Target="https://app.clickup.com/t/86b4fbpak" TargetMode="External"/><Relationship Id="rId64" Type="http://schemas.openxmlformats.org/officeDocument/2006/relationships/hyperlink" Target="https://app.clickup.com/t/86b4fbpyg" TargetMode="External"/><Relationship Id="rId65" Type="http://schemas.openxmlformats.org/officeDocument/2006/relationships/hyperlink" Target="https://app.clickup.com/t/86b4frwuj" TargetMode="External"/><Relationship Id="rId66" Type="http://schemas.openxmlformats.org/officeDocument/2006/relationships/hyperlink" Target="https://app.clickup.com/t/86b4f6xac" TargetMode="External"/><Relationship Id="rId67" Type="http://schemas.openxmlformats.org/officeDocument/2006/relationships/vmlDrawing" Target="../drawings/vmlDrawing3.vml"/><Relationship Id="rId68" Type="http://schemas.openxmlformats.org/officeDocument/2006/relationships/table" Target="../tables/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app.clickup.com/t/86b4fph1k" TargetMode="External"/><Relationship Id="rId3" Type="http://schemas.openxmlformats.org/officeDocument/2006/relationships/hyperlink" Target="https://app.clickup.com/t/86b4ftmq4" TargetMode="External"/><Relationship Id="rId4" Type="http://schemas.openxmlformats.org/officeDocument/2006/relationships/hyperlink" Target="https://app.clickup.com/t/86b4fnweq" TargetMode="External"/><Relationship Id="rId5" Type="http://schemas.openxmlformats.org/officeDocument/2006/relationships/hyperlink" Target="https://app.clickup.com/t/86b4fxre9" TargetMode="External"/><Relationship Id="rId6" Type="http://schemas.openxmlformats.org/officeDocument/2006/relationships/hyperlink" Target="https://app.clickup.com/t/86b4gefgy" TargetMode="External"/><Relationship Id="rId7" Type="http://schemas.openxmlformats.org/officeDocument/2006/relationships/hyperlink" Target="https://app.clickup.com/t/86b4gu6cv" TargetMode="External"/><Relationship Id="rId8" Type="http://schemas.openxmlformats.org/officeDocument/2006/relationships/hyperlink" Target="https://app.clickup.com/t/86b4gtdtg" TargetMode="External"/><Relationship Id="rId9" Type="http://schemas.openxmlformats.org/officeDocument/2006/relationships/hyperlink" Target="https://app.clickup.com/t/86b4hcznk" TargetMode="External"/><Relationship Id="rId10" Type="http://schemas.openxmlformats.org/officeDocument/2006/relationships/hyperlink" Target="https://app.clickup.com/t/86b4hd5gw" TargetMode="External"/><Relationship Id="rId11" Type="http://schemas.openxmlformats.org/officeDocument/2006/relationships/hyperlink" Target="https://app.clickup.com/t/86b4hn2hg" TargetMode="External"/><Relationship Id="rId12" Type="http://schemas.openxmlformats.org/officeDocument/2006/relationships/hyperlink" Target="https://app.clickup.com/t/454056/SLA-1344" TargetMode="External"/><Relationship Id="rId13" Type="http://schemas.openxmlformats.org/officeDocument/2006/relationships/hyperlink" Target="https://app.clickup.com/t/86b4j2x59" TargetMode="External"/><Relationship Id="rId14" Type="http://schemas.openxmlformats.org/officeDocument/2006/relationships/hyperlink" Target="https://app.clickup.com/t/86b4j2yhp" TargetMode="External"/><Relationship Id="rId15" Type="http://schemas.openxmlformats.org/officeDocument/2006/relationships/hyperlink" Target="https://app.clickup.com/t/86b4j4zr3" TargetMode="External"/><Relationship Id="rId16" Type="http://schemas.openxmlformats.org/officeDocument/2006/relationships/hyperlink" Target="https://app.clickup.com/t/86b4jnbqm" TargetMode="External"/><Relationship Id="rId17" Type="http://schemas.openxmlformats.org/officeDocument/2006/relationships/hyperlink" Target="https://app.clickup.com/t/86b4jq22q" TargetMode="External"/><Relationship Id="rId18" Type="http://schemas.openxmlformats.org/officeDocument/2006/relationships/hyperlink" Target="https://app.clickup.com/t/86b4k61m5" TargetMode="External"/><Relationship Id="rId19" Type="http://schemas.openxmlformats.org/officeDocument/2006/relationships/hyperlink" Target="https://app.clickup.com/t/86b4k6h7r" TargetMode="External"/><Relationship Id="rId20" Type="http://schemas.openxmlformats.org/officeDocument/2006/relationships/hyperlink" Target="https://app.clickup.com/t/86b4kkk76" TargetMode="External"/><Relationship Id="rId21" Type="http://schemas.openxmlformats.org/officeDocument/2006/relationships/hyperlink" Target="https://app.clickup.com/t/86b4kkz67" TargetMode="External"/><Relationship Id="rId22" Type="http://schemas.openxmlformats.org/officeDocument/2006/relationships/hyperlink" Target="https://app.clickup.com/t/86b4kkw3d" TargetMode="External"/><Relationship Id="rId23" Type="http://schemas.openxmlformats.org/officeDocument/2006/relationships/hyperlink" Target="https://app.clickup.com/t/86b4knnr5" TargetMode="External"/><Relationship Id="rId24" Type="http://schemas.openxmlformats.org/officeDocument/2006/relationships/hyperlink" Target="https://app.clickup.com/t/86b4kr8bg" TargetMode="External"/><Relationship Id="rId25" Type="http://schemas.openxmlformats.org/officeDocument/2006/relationships/hyperlink" Target="https://app.clickup.com/t/86b4krcng" TargetMode="External"/><Relationship Id="rId26" Type="http://schemas.openxmlformats.org/officeDocument/2006/relationships/hyperlink" Target="https://app.clickup.com/t/86b4m8pkp" TargetMode="External"/><Relationship Id="rId27" Type="http://schemas.openxmlformats.org/officeDocument/2006/relationships/hyperlink" Target="https://app.clickup.com/t/86b4n2h5d" TargetMode="External"/><Relationship Id="rId28" Type="http://schemas.openxmlformats.org/officeDocument/2006/relationships/hyperlink" Target="https://app.clickup.com/t/86b4nepym" TargetMode="External"/><Relationship Id="rId29" Type="http://schemas.openxmlformats.org/officeDocument/2006/relationships/hyperlink" Target="https://app.clickup.com/t/454056/ZL-1550" TargetMode="External"/><Relationship Id="rId30" Type="http://schemas.openxmlformats.org/officeDocument/2006/relationships/hyperlink" Target="https://app.clickup.com/t/86b4ng15j" TargetMode="External"/><Relationship Id="rId31" Type="http://schemas.openxmlformats.org/officeDocument/2006/relationships/hyperlink" Target="https://app.clickup.com/t/86b4npf8k" TargetMode="External"/><Relationship Id="rId32" Type="http://schemas.openxmlformats.org/officeDocument/2006/relationships/hyperlink" Target="https://app.clickup.com/t/86b4nnzvr" TargetMode="External"/><Relationship Id="rId33" Type="http://schemas.openxmlformats.org/officeDocument/2006/relationships/hyperlink" Target="https://app.clickup.com/t/86b4nqwhw" TargetMode="External"/><Relationship Id="rId34" Type="http://schemas.openxmlformats.org/officeDocument/2006/relationships/hyperlink" Target="https://app.clickup.com/t/86b4ny2e3" TargetMode="External"/><Relationship Id="rId35" Type="http://schemas.openxmlformats.org/officeDocument/2006/relationships/hyperlink" Target="https://app.clickup.com/t/86b4p5a86" TargetMode="External"/><Relationship Id="rId36" Type="http://schemas.openxmlformats.org/officeDocument/2006/relationships/hyperlink" Target="https://app.clickup.com/t/86b4qeg0z" TargetMode="External"/><Relationship Id="rId37" Type="http://schemas.openxmlformats.org/officeDocument/2006/relationships/hyperlink" Target="https://app.clickup.com/t/86b4qeaa5" TargetMode="External"/><Relationship Id="rId38" Type="http://schemas.openxmlformats.org/officeDocument/2006/relationships/hyperlink" Target="https://app.clickup.com/t/86b4qgng4" TargetMode="External"/><Relationship Id="rId39" Type="http://schemas.openxmlformats.org/officeDocument/2006/relationships/hyperlink" Target="https://app.clickup.com/t/86b4qjajm" TargetMode="External"/><Relationship Id="rId40" Type="http://schemas.openxmlformats.org/officeDocument/2006/relationships/hyperlink" Target="https://app.clickup.com/t/86b4qgdy3" TargetMode="External"/><Relationship Id="rId41" Type="http://schemas.openxmlformats.org/officeDocument/2006/relationships/hyperlink" Target="https://app.clickup.com/t/86b4rca4p" TargetMode="External"/><Relationship Id="rId42" Type="http://schemas.openxmlformats.org/officeDocument/2006/relationships/hyperlink" Target="https://app.clickup.com/t/86b4rcuyt" TargetMode="External"/><Relationship Id="rId43" Type="http://schemas.openxmlformats.org/officeDocument/2006/relationships/hyperlink" Target="https://app.clickup.com/t/86b4rd9rw" TargetMode="External"/><Relationship Id="rId44" Type="http://schemas.openxmlformats.org/officeDocument/2006/relationships/hyperlink" Target="https://app.clickup.com/t/86b4rtuac" TargetMode="External"/><Relationship Id="rId45" Type="http://schemas.openxmlformats.org/officeDocument/2006/relationships/hyperlink" Target="https://app.clickup.com/t/86b4rtzr6" TargetMode="External"/><Relationship Id="rId46" Type="http://schemas.openxmlformats.org/officeDocument/2006/relationships/hyperlink" Target="https://app.clickup.com/t/86b4rtzwq" TargetMode="External"/><Relationship Id="rId47" Type="http://schemas.openxmlformats.org/officeDocument/2006/relationships/hyperlink" Target="https://app.clickup.com/t/86b4t210z" TargetMode="External"/><Relationship Id="rId48" Type="http://schemas.openxmlformats.org/officeDocument/2006/relationships/hyperlink" Target="https://app.clickup.com/t/86b4tbg1p" TargetMode="External"/><Relationship Id="rId49" Type="http://schemas.openxmlformats.org/officeDocument/2006/relationships/hyperlink" Target="https://app.clickup.com/t/86b4tbj8j" TargetMode="External"/><Relationship Id="rId50" Type="http://schemas.openxmlformats.org/officeDocument/2006/relationships/hyperlink" Target="https://app.clickup.com/t/86b4tek5d" TargetMode="External"/><Relationship Id="rId51" Type="http://schemas.openxmlformats.org/officeDocument/2006/relationships/hyperlink" Target="https://app.clickup.com/t/86b4u4u6j" TargetMode="External"/><Relationship Id="rId52" Type="http://schemas.openxmlformats.org/officeDocument/2006/relationships/hyperlink" Target="https://app.clickup.com/t/86b4tn4d5" TargetMode="External"/><Relationship Id="rId53" Type="http://schemas.openxmlformats.org/officeDocument/2006/relationships/hyperlink" Target="https://app.clickup.com/t/86b4ubcre" TargetMode="External"/><Relationship Id="rId54" Type="http://schemas.openxmlformats.org/officeDocument/2006/relationships/hyperlink" Target="https://app.clickup.com/t/86b4u63xb" TargetMode="External"/><Relationship Id="rId55" Type="http://schemas.openxmlformats.org/officeDocument/2006/relationships/hyperlink" Target="https://app.clickup.com/t/86b4u78yz" TargetMode="External"/><Relationship Id="rId56" Type="http://schemas.openxmlformats.org/officeDocument/2006/relationships/hyperlink" Target="https://app.clickup.com/t/86b4u2kga" TargetMode="External"/><Relationship Id="rId57" Type="http://schemas.openxmlformats.org/officeDocument/2006/relationships/hyperlink" Target="https://app.clickup.com/t/86b4u32cj" TargetMode="External"/><Relationship Id="rId58" Type="http://schemas.openxmlformats.org/officeDocument/2006/relationships/hyperlink" Target="https://app.clickup.com/t/86b4uc2z6" TargetMode="External"/><Relationship Id="rId59" Type="http://schemas.openxmlformats.org/officeDocument/2006/relationships/hyperlink" Target="https://app.clickup.com/t/86b4uw8q5" TargetMode="External"/><Relationship Id="rId60" Type="http://schemas.openxmlformats.org/officeDocument/2006/relationships/hyperlink" Target="https://app.clickup.com/t/86b4uwz9q" TargetMode="External"/><Relationship Id="rId61" Type="http://schemas.openxmlformats.org/officeDocument/2006/relationships/hyperlink" Target="https://app.clickup.com/t/86b4uwvym" TargetMode="External"/><Relationship Id="rId62" Type="http://schemas.openxmlformats.org/officeDocument/2006/relationships/hyperlink" Target="https://app.clickup.com/t/86b4uy2an" TargetMode="External"/><Relationship Id="rId63" Type="http://schemas.openxmlformats.org/officeDocument/2006/relationships/hyperlink" Target="https://app.clickup.com/t/86b4v5rp6" TargetMode="External"/><Relationship Id="rId64" Type="http://schemas.openxmlformats.org/officeDocument/2006/relationships/hyperlink" Target="https://app.clickup.com/t/86b4vanx0" TargetMode="External"/><Relationship Id="rId65" Type="http://schemas.openxmlformats.org/officeDocument/2006/relationships/hyperlink" Target="https://app.clickup.com/t/86b4vanre" TargetMode="External"/><Relationship Id="rId66" Type="http://schemas.openxmlformats.org/officeDocument/2006/relationships/hyperlink" Target="https://app.clickup.com/t/86b4v4j0b" TargetMode="External"/><Relationship Id="rId67" Type="http://schemas.openxmlformats.org/officeDocument/2006/relationships/hyperlink" Target="https://app.clickup.com/t/86b4v31yj" TargetMode="External"/><Relationship Id="rId68" Type="http://schemas.openxmlformats.org/officeDocument/2006/relationships/vmlDrawing" Target="../drawings/vmlDrawing4.vml"/><Relationship Id="rId69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app.clickup.com/t/86b4vnmkc" TargetMode="External"/><Relationship Id="rId3" Type="http://schemas.openxmlformats.org/officeDocument/2006/relationships/hyperlink" Target="https://app.clickup.com/t/86b4vt8y6" TargetMode="External"/><Relationship Id="rId4" Type="http://schemas.openxmlformats.org/officeDocument/2006/relationships/hyperlink" Target="https://app.clickup.com/t/86b4w5e8c" TargetMode="External"/><Relationship Id="rId5" Type="http://schemas.openxmlformats.org/officeDocument/2006/relationships/hyperlink" Target="https://app.clickup.com/t/86b4w6v1q" TargetMode="External"/><Relationship Id="rId6" Type="http://schemas.openxmlformats.org/officeDocument/2006/relationships/hyperlink" Target="https://app.clickup.com/t/86b4wbewg" TargetMode="External"/><Relationship Id="rId7" Type="http://schemas.openxmlformats.org/officeDocument/2006/relationships/hyperlink" Target="https://app.clickup.com/t/86b4xaf9x" TargetMode="External"/><Relationship Id="rId8" Type="http://schemas.openxmlformats.org/officeDocument/2006/relationships/hyperlink" Target="https://app.clickup.com/t/86b4xacmp" TargetMode="External"/><Relationship Id="rId9" Type="http://schemas.openxmlformats.org/officeDocument/2006/relationships/hyperlink" Target="https://app.clickup.com/t/86b4xvmdn" TargetMode="External"/><Relationship Id="rId10" Type="http://schemas.openxmlformats.org/officeDocument/2006/relationships/hyperlink" Target="https://app.clickup.com/t/86b4xwng6" TargetMode="External"/><Relationship Id="rId11" Type="http://schemas.openxmlformats.org/officeDocument/2006/relationships/hyperlink" Target="https://app.clickup.com/t/454056/86b4y266g" TargetMode="External"/><Relationship Id="rId12" Type="http://schemas.openxmlformats.org/officeDocument/2006/relationships/hyperlink" Target="https://app.clickup.com/t/454056/86b4y27uq" TargetMode="External"/><Relationship Id="rId13" Type="http://schemas.openxmlformats.org/officeDocument/2006/relationships/hyperlink" Target="https://app.clickup.com/t/86b4yarbt" TargetMode="External"/><Relationship Id="rId14" Type="http://schemas.openxmlformats.org/officeDocument/2006/relationships/hyperlink" Target="https://app.clickup.com/t/86b4yb1rh" TargetMode="External"/><Relationship Id="rId15" Type="http://schemas.openxmlformats.org/officeDocument/2006/relationships/hyperlink" Target="https://app.clickup.com/t/86b4yrh8v" TargetMode="External"/><Relationship Id="rId16" Type="http://schemas.openxmlformats.org/officeDocument/2006/relationships/hyperlink" Target="https://app.clickup.com/t/86b4yrkqb" TargetMode="External"/><Relationship Id="rId17" Type="http://schemas.openxmlformats.org/officeDocument/2006/relationships/hyperlink" Target="https://app.clickup.com/t/86b4yfbgy" TargetMode="External"/><Relationship Id="rId18" Type="http://schemas.openxmlformats.org/officeDocument/2006/relationships/hyperlink" Target="https://app.clickup.com/t/86b4yv3cc" TargetMode="External"/><Relationship Id="rId19" Type="http://schemas.openxmlformats.org/officeDocument/2006/relationships/hyperlink" Target="https://app.clickup.com/t/86b4yv2cy" TargetMode="External"/><Relationship Id="rId20" Type="http://schemas.openxmlformats.org/officeDocument/2006/relationships/hyperlink" Target="https://app.clickup.com/t/86b4yvb56" TargetMode="External"/><Relationship Id="rId21" Type="http://schemas.openxmlformats.org/officeDocument/2006/relationships/hyperlink" Target="https://app.clickup.com/t/86b4yw3ru" TargetMode="External"/><Relationship Id="rId22" Type="http://schemas.openxmlformats.org/officeDocument/2006/relationships/hyperlink" Target="https://app.clickup.com/t/86b4ze0rh" TargetMode="External"/><Relationship Id="rId23" Type="http://schemas.openxmlformats.org/officeDocument/2006/relationships/hyperlink" Target="https://app.clickup.com/t/86b4zg1tr" TargetMode="External"/><Relationship Id="rId24" Type="http://schemas.openxmlformats.org/officeDocument/2006/relationships/hyperlink" Target="https://app.clickup.com/t/86b4zgp9t" TargetMode="External"/><Relationship Id="rId25" Type="http://schemas.openxmlformats.org/officeDocument/2006/relationships/hyperlink" Target="https://app.clickup.com/t/86b4zjhrr" TargetMode="External"/><Relationship Id="rId26" Type="http://schemas.openxmlformats.org/officeDocument/2006/relationships/hyperlink" Target="https://app.clickup.com/t/86b4zv787" TargetMode="External"/><Relationship Id="rId27" Type="http://schemas.openxmlformats.org/officeDocument/2006/relationships/hyperlink" Target="https://app.clickup.com/t/86b4zu9yd" TargetMode="External"/><Relationship Id="rId28" Type="http://schemas.openxmlformats.org/officeDocument/2006/relationships/hyperlink" Target="https://app.clickup.com/t/86b4zvt09" TargetMode="External"/><Relationship Id="rId29" Type="http://schemas.openxmlformats.org/officeDocument/2006/relationships/hyperlink" Target="https://app.clickup.com/t/86b4zwbj8" TargetMode="External"/><Relationship Id="rId30" Type="http://schemas.openxmlformats.org/officeDocument/2006/relationships/hyperlink" Target="https://app.clickup.com/t/86b4zv787" TargetMode="External"/><Relationship Id="rId31" Type="http://schemas.openxmlformats.org/officeDocument/2006/relationships/hyperlink" Target="https://app.clickup.com/t/86b50akje" TargetMode="External"/><Relationship Id="rId32" Type="http://schemas.openxmlformats.org/officeDocument/2006/relationships/hyperlink" Target="https://app.clickup.com/t/86b50eqkj" TargetMode="External"/><Relationship Id="rId33" Type="http://schemas.openxmlformats.org/officeDocument/2006/relationships/hyperlink" Target="https://app.clickup.com/t/86b50g37m" TargetMode="External"/><Relationship Id="rId34" Type="http://schemas.openxmlformats.org/officeDocument/2006/relationships/hyperlink" Target="https://app.clickup.com/t/86b5101fp" TargetMode="External"/><Relationship Id="rId35" Type="http://schemas.openxmlformats.org/officeDocument/2006/relationships/hyperlink" Target="https://app.clickup.com/t/86b50u2n8" TargetMode="External"/><Relationship Id="rId36" Type="http://schemas.openxmlformats.org/officeDocument/2006/relationships/hyperlink" Target="https://app.clickup.com/t/86b512d0a" TargetMode="External"/><Relationship Id="rId37" Type="http://schemas.openxmlformats.org/officeDocument/2006/relationships/hyperlink" Target="https://app.clickup.com/t/86b51g2f7" TargetMode="External"/><Relationship Id="rId38" Type="http://schemas.openxmlformats.org/officeDocument/2006/relationships/hyperlink" Target="https://app.clickup.com/t/86b51yggb" TargetMode="External"/><Relationship Id="rId39" Type="http://schemas.openxmlformats.org/officeDocument/2006/relationships/hyperlink" Target="https://app.clickup.com/t/86b51y7xb" TargetMode="External"/><Relationship Id="rId40" Type="http://schemas.openxmlformats.org/officeDocument/2006/relationships/hyperlink" Target="https://app.clickup.com/t/86b51y5q5" TargetMode="External"/><Relationship Id="rId41" Type="http://schemas.openxmlformats.org/officeDocument/2006/relationships/hyperlink" Target="https://app.clickup.com/t/86b522xxw" TargetMode="External"/><Relationship Id="rId42" Type="http://schemas.openxmlformats.org/officeDocument/2006/relationships/hyperlink" Target="https://app.clickup.com/t/86b5242x2" TargetMode="External"/><Relationship Id="rId43" Type="http://schemas.openxmlformats.org/officeDocument/2006/relationships/hyperlink" Target="https://app.clickup.com/t/86b52547t" TargetMode="External"/><Relationship Id="rId44" Type="http://schemas.openxmlformats.org/officeDocument/2006/relationships/hyperlink" Target="https://app.clickup.com/t/86b525q5x" TargetMode="External"/><Relationship Id="rId45" Type="http://schemas.openxmlformats.org/officeDocument/2006/relationships/hyperlink" Target="https://app.clickup.com/t/86b52ag34" TargetMode="External"/><Relationship Id="rId46" Type="http://schemas.openxmlformats.org/officeDocument/2006/relationships/hyperlink" Target="https://app.clickup.com/t/86b52e7y5" TargetMode="External"/><Relationship Id="rId47" Type="http://schemas.openxmlformats.org/officeDocument/2006/relationships/hyperlink" Target="https://app.clickup.com/t/86b52v036" TargetMode="External"/><Relationship Id="rId48" Type="http://schemas.openxmlformats.org/officeDocument/2006/relationships/hyperlink" Target="https://app.clickup.com/t/86b531r3h" TargetMode="External"/><Relationship Id="rId49" Type="http://schemas.openxmlformats.org/officeDocument/2006/relationships/hyperlink" Target="https://app.clickup.com/t/86b53948v" TargetMode="External"/><Relationship Id="rId50" Type="http://schemas.openxmlformats.org/officeDocument/2006/relationships/hyperlink" Target="https://app.clickup.com/t/86b53c5uh" TargetMode="External"/><Relationship Id="rId51" Type="http://schemas.openxmlformats.org/officeDocument/2006/relationships/hyperlink" Target="https://app.clickup.com/t/86b53wf12" TargetMode="External"/><Relationship Id="rId52" Type="http://schemas.openxmlformats.org/officeDocument/2006/relationships/hyperlink" Target="https://app.clickup.com/t/86b53vx13" TargetMode="External"/><Relationship Id="rId53" Type="http://schemas.openxmlformats.org/officeDocument/2006/relationships/hyperlink" Target="https://app.clickup.com/t/86b54dgz8" TargetMode="External"/><Relationship Id="rId54" Type="http://schemas.openxmlformats.org/officeDocument/2006/relationships/hyperlink" Target="https://app.clickup.com/t/86b54e306" TargetMode="External"/><Relationship Id="rId55" Type="http://schemas.openxmlformats.org/officeDocument/2006/relationships/hyperlink" Target="https://app.clickup.com/t/86b54e5c9" TargetMode="External"/><Relationship Id="rId56" Type="http://schemas.openxmlformats.org/officeDocument/2006/relationships/hyperlink" Target="https://app.clickup.com/t/86b54mpa4" TargetMode="External"/><Relationship Id="rId57" Type="http://schemas.openxmlformats.org/officeDocument/2006/relationships/hyperlink" Target="https://app.clickup.com/t/86b54mv25" TargetMode="External"/><Relationship Id="rId58" Type="http://schemas.openxmlformats.org/officeDocument/2006/relationships/hyperlink" Target="https://app.clickup.com/t/86b54rn13" TargetMode="External"/><Relationship Id="rId59" Type="http://schemas.openxmlformats.org/officeDocument/2006/relationships/hyperlink" Target="https://app.clickup.com/t/86b54ub2v" TargetMode="External"/><Relationship Id="rId60" Type="http://schemas.openxmlformats.org/officeDocument/2006/relationships/hyperlink" Target="https://app.clickup.com/t/86b54vyy3" TargetMode="External"/><Relationship Id="rId61" Type="http://schemas.openxmlformats.org/officeDocument/2006/relationships/hyperlink" Target="https://app.clickup.com/t/86b551pra" TargetMode="External"/><Relationship Id="rId62" Type="http://schemas.openxmlformats.org/officeDocument/2006/relationships/hyperlink" Target="https://app.clickup.com/t/86b553mx0" TargetMode="External"/><Relationship Id="rId63" Type="http://schemas.openxmlformats.org/officeDocument/2006/relationships/hyperlink" Target="https://app.clickup.com/t/86b558r7b" TargetMode="External"/><Relationship Id="rId64" Type="http://schemas.openxmlformats.org/officeDocument/2006/relationships/hyperlink" Target="https://app.clickup.com/t/86b55hky2" TargetMode="External"/><Relationship Id="rId65" Type="http://schemas.openxmlformats.org/officeDocument/2006/relationships/hyperlink" Target="https://app.clickup.com/t/86b55htxa" TargetMode="External"/><Relationship Id="rId66" Type="http://schemas.openxmlformats.org/officeDocument/2006/relationships/hyperlink" Target="https://app.clickup.com/t/86b55q8ej" TargetMode="External"/><Relationship Id="rId67" Type="http://schemas.openxmlformats.org/officeDocument/2006/relationships/hyperlink" Target="https://app.clickup.com/t/86b568axm" TargetMode="External"/><Relationship Id="rId68" Type="http://schemas.openxmlformats.org/officeDocument/2006/relationships/hyperlink" Target="https://app.clickup.com/t/86b568ghz" TargetMode="External"/><Relationship Id="rId69" Type="http://schemas.openxmlformats.org/officeDocument/2006/relationships/vmlDrawing" Target="../drawings/vmlDrawing5.vml"/><Relationship Id="rId70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app.clickup.com/t/86b56t850" TargetMode="External"/><Relationship Id="rId3" Type="http://schemas.openxmlformats.org/officeDocument/2006/relationships/hyperlink" Target="https://app.clickup.com/t/86b5792j6" TargetMode="External"/><Relationship Id="rId4" Type="http://schemas.openxmlformats.org/officeDocument/2006/relationships/hyperlink" Target="https://app.clickup.com/t/86b57ftgq" TargetMode="External"/><Relationship Id="rId5" Type="http://schemas.openxmlformats.org/officeDocument/2006/relationships/hyperlink" Target="https://app.clickup.com/t/86b588av0" TargetMode="External"/><Relationship Id="rId6" Type="http://schemas.openxmlformats.org/officeDocument/2006/relationships/hyperlink" Target="https://app.clickup.com/t/86b58j5q7" TargetMode="External"/><Relationship Id="rId7" Type="http://schemas.openxmlformats.org/officeDocument/2006/relationships/hyperlink" Target="https://app.clickup.com/t/86b58ex69" TargetMode="External"/><Relationship Id="rId8" Type="http://schemas.openxmlformats.org/officeDocument/2006/relationships/hyperlink" Target="https://app.clickup.com/t/86b58ebyc" TargetMode="External"/><Relationship Id="rId9" Type="http://schemas.openxmlformats.org/officeDocument/2006/relationships/hyperlink" Target="https://app.clickup.com/t/86b58e3w9" TargetMode="External"/><Relationship Id="rId10" Type="http://schemas.openxmlformats.org/officeDocument/2006/relationships/hyperlink" Target="https://app.clickup.com/t/86b585fmr" TargetMode="External"/><Relationship Id="rId11" Type="http://schemas.openxmlformats.org/officeDocument/2006/relationships/hyperlink" Target="https://app.clickup.com/t/86b59fpj3" TargetMode="External"/><Relationship Id="rId12" Type="http://schemas.openxmlformats.org/officeDocument/2006/relationships/hyperlink" Target="https://app.clickup.com/t/86b58vg9k" TargetMode="External"/><Relationship Id="rId13" Type="http://schemas.openxmlformats.org/officeDocument/2006/relationships/hyperlink" Target="https://app.clickup.com/t/86b5a078d" TargetMode="External"/><Relationship Id="rId14" Type="http://schemas.openxmlformats.org/officeDocument/2006/relationships/hyperlink" Target="https://app.clickup.com/t/86b5a27eg" TargetMode="External"/><Relationship Id="rId15" Type="http://schemas.openxmlformats.org/officeDocument/2006/relationships/hyperlink" Target="https://app.clickup.com/t/86b5ad4gh" TargetMode="External"/><Relationship Id="rId16" Type="http://schemas.openxmlformats.org/officeDocument/2006/relationships/hyperlink" Target="https://app.clickup.com/t/86b5ak394" TargetMode="External"/><Relationship Id="rId17" Type="http://schemas.openxmlformats.org/officeDocument/2006/relationships/hyperlink" Target="https://app.clickup.com/t/454056/SLA-1552" TargetMode="External"/><Relationship Id="rId18" Type="http://schemas.openxmlformats.org/officeDocument/2006/relationships/hyperlink" Target="https://app.clickup.com/t/86b5awhv8" TargetMode="External"/><Relationship Id="rId19" Type="http://schemas.openxmlformats.org/officeDocument/2006/relationships/hyperlink" Target="https://app.clickup.com/t/86b5b2ezk" TargetMode="External"/><Relationship Id="rId20" Type="http://schemas.openxmlformats.org/officeDocument/2006/relationships/hyperlink" Target="https://app.clickup.com/t/86b5be68y" TargetMode="External"/><Relationship Id="rId21" Type="http://schemas.openxmlformats.org/officeDocument/2006/relationships/hyperlink" Target="https://app.clickup.com/t/86b5c822u" TargetMode="External"/><Relationship Id="rId22" Type="http://schemas.openxmlformats.org/officeDocument/2006/relationships/hyperlink" Target="https://app.clickup.com/t/86b5btn5b" TargetMode="External"/><Relationship Id="rId23" Type="http://schemas.openxmlformats.org/officeDocument/2006/relationships/hyperlink" Target="https://app.clickup.com/t/86b5cjmta" TargetMode="External"/><Relationship Id="rId24" Type="http://schemas.openxmlformats.org/officeDocument/2006/relationships/hyperlink" Target="https://app.clickup.com/t/86b5d09de" TargetMode="External"/><Relationship Id="rId25" Type="http://schemas.openxmlformats.org/officeDocument/2006/relationships/hyperlink" Target="https://app.clickup.com/t/86b5d10en" TargetMode="External"/><Relationship Id="rId26" Type="http://schemas.openxmlformats.org/officeDocument/2006/relationships/hyperlink" Target="https://app.clickup.com/t/86b5d1hu0" TargetMode="External"/><Relationship Id="rId27" Type="http://schemas.openxmlformats.org/officeDocument/2006/relationships/hyperlink" Target="https://app.clickup.com/t/86b5d4wx3" TargetMode="External"/><Relationship Id="rId28" Type="http://schemas.openxmlformats.org/officeDocument/2006/relationships/hyperlink" Target="https://app.clickup.com/t/86b5da853" TargetMode="External"/><Relationship Id="rId29" Type="http://schemas.openxmlformats.org/officeDocument/2006/relationships/hyperlink" Target="https://app.clickup.com/t/86b5dgbun" TargetMode="External"/><Relationship Id="rId30" Type="http://schemas.openxmlformats.org/officeDocument/2006/relationships/hyperlink" Target="https://app.clickup.com/t/86b5dgnez" TargetMode="External"/><Relationship Id="rId31" Type="http://schemas.openxmlformats.org/officeDocument/2006/relationships/hyperlink" Target="https://app.clickup.com/t/86b5dg6ag" TargetMode="External"/><Relationship Id="rId32" Type="http://schemas.openxmlformats.org/officeDocument/2006/relationships/hyperlink" Target="https://app.clickup.com/t/86b5dvng4" TargetMode="External"/><Relationship Id="rId33" Type="http://schemas.openxmlformats.org/officeDocument/2006/relationships/hyperlink" Target="https://app.clickup.com/t/86b5dyh9b" TargetMode="External"/><Relationship Id="rId34" Type="http://schemas.openxmlformats.org/officeDocument/2006/relationships/hyperlink" Target="https://app.clickup.com/t/86b5e0t18" TargetMode="External"/><Relationship Id="rId35" Type="http://schemas.openxmlformats.org/officeDocument/2006/relationships/hyperlink" Target="https://app.clickup.com/t/86b5f0ye5" TargetMode="External"/><Relationship Id="rId36" Type="http://schemas.openxmlformats.org/officeDocument/2006/relationships/hyperlink" Target="https://app.clickup.com/t/86b5f1aem" TargetMode="External"/><Relationship Id="rId37" Type="http://schemas.openxmlformats.org/officeDocument/2006/relationships/hyperlink" Target="https://app.clickup.com/t/86b5e2f6f" TargetMode="External"/><Relationship Id="rId38" Type="http://schemas.openxmlformats.org/officeDocument/2006/relationships/hyperlink" Target="https://app.clickup.com/t/86b5dz6t2" TargetMode="External"/><Relationship Id="rId39" Type="http://schemas.openxmlformats.org/officeDocument/2006/relationships/hyperlink" Target="https://app.clickup.com/t/86b5f4ugu" TargetMode="External"/><Relationship Id="rId40" Type="http://schemas.openxmlformats.org/officeDocument/2006/relationships/hyperlink" Target="https://app.clickup.com/t/86b5fp77b" TargetMode="External"/><Relationship Id="rId41" Type="http://schemas.openxmlformats.org/officeDocument/2006/relationships/hyperlink" Target="https://app.clickup.com/t/86b5fu1k0" TargetMode="External"/><Relationship Id="rId42" Type="http://schemas.openxmlformats.org/officeDocument/2006/relationships/hyperlink" Target="https://app.clickup.com/t/86b5g4m3b" TargetMode="External"/><Relationship Id="rId43" Type="http://schemas.openxmlformats.org/officeDocument/2006/relationships/hyperlink" Target="https://app.clickup.com/t/86b5g64fw" TargetMode="External"/><Relationship Id="rId44" Type="http://schemas.openxmlformats.org/officeDocument/2006/relationships/hyperlink" Target="https://app.clickup.com/t/86b5g6b2c" TargetMode="External"/><Relationship Id="rId45" Type="http://schemas.openxmlformats.org/officeDocument/2006/relationships/hyperlink" Target="https://app.clickup.com/t/86b5ggza1" TargetMode="External"/><Relationship Id="rId46" Type="http://schemas.openxmlformats.org/officeDocument/2006/relationships/hyperlink" Target="https://app.clickup.com/t/86b5ghqag" TargetMode="External"/><Relationship Id="rId47" Type="http://schemas.openxmlformats.org/officeDocument/2006/relationships/hyperlink" Target="https://app.clickup.com/t/86b5ghxaw" TargetMode="External"/><Relationship Id="rId48" Type="http://schemas.openxmlformats.org/officeDocument/2006/relationships/hyperlink" Target="https://app.clickup.com/t/86b5gme11" TargetMode="External"/><Relationship Id="rId49" Type="http://schemas.openxmlformats.org/officeDocument/2006/relationships/hyperlink" Target="https://app.clickup.com/t/86b5gnuxw" TargetMode="External"/><Relationship Id="rId50" Type="http://schemas.openxmlformats.org/officeDocument/2006/relationships/hyperlink" Target="https://app.clickup.com/t/86b5gpczp" TargetMode="External"/><Relationship Id="rId51" Type="http://schemas.openxmlformats.org/officeDocument/2006/relationships/hyperlink" Target="https://app.clickup.com/t/86b5gj6a5" TargetMode="External"/><Relationship Id="rId52" Type="http://schemas.openxmlformats.org/officeDocument/2006/relationships/hyperlink" Target="https://app.clickup.com/t/86b5gqyuf" TargetMode="External"/><Relationship Id="rId53" Type="http://schemas.openxmlformats.org/officeDocument/2006/relationships/hyperlink" Target="https://app.clickup.com/t/86b5gj4ed" TargetMode="External"/><Relationship Id="rId54" Type="http://schemas.openxmlformats.org/officeDocument/2006/relationships/vmlDrawing" Target="../drawings/vmlDrawing6.vml"/><Relationship Id="rId55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app.clickup.com/t/86b5hr8nq" TargetMode="External"/><Relationship Id="rId3" Type="http://schemas.openxmlformats.org/officeDocument/2006/relationships/hyperlink" Target="https://app.clickup.com/t/86b5huhc7" TargetMode="External"/><Relationship Id="rId4" Type="http://schemas.openxmlformats.org/officeDocument/2006/relationships/hyperlink" Target="https://app.clickup.com/t/86b5ht2vw" TargetMode="External"/><Relationship Id="rId5" Type="http://schemas.openxmlformats.org/officeDocument/2006/relationships/hyperlink" Target="https://app.clickup.com/t/86b5j7ffd" TargetMode="External"/><Relationship Id="rId6" Type="http://schemas.openxmlformats.org/officeDocument/2006/relationships/hyperlink" Target="https://app.clickup.com/t/86b5jhvt0" TargetMode="External"/><Relationship Id="rId7" Type="http://schemas.openxmlformats.org/officeDocument/2006/relationships/hyperlink" Target="https://app.clickup.com/t/86b5jbqvn" TargetMode="External"/><Relationship Id="rId8" Type="http://schemas.openxmlformats.org/officeDocument/2006/relationships/hyperlink" Target="https://app.clickup.com/t/86b5jqrgc" TargetMode="External"/><Relationship Id="rId9" Type="http://schemas.openxmlformats.org/officeDocument/2006/relationships/hyperlink" Target="https://app.clickup.com/t/86b5jxn83" TargetMode="External"/><Relationship Id="rId10" Type="http://schemas.openxmlformats.org/officeDocument/2006/relationships/hyperlink" Target="https://app.clickup.com/t/86b5k46zf" TargetMode="External"/><Relationship Id="rId11" Type="http://schemas.openxmlformats.org/officeDocument/2006/relationships/hyperlink" Target="https://app.clickup.com/t/86b5k4rk8" TargetMode="External"/><Relationship Id="rId12" Type="http://schemas.openxmlformats.org/officeDocument/2006/relationships/hyperlink" Target="https://app.clickup.com/t/86b5kuaa2" TargetMode="External"/><Relationship Id="rId13" Type="http://schemas.openxmlformats.org/officeDocument/2006/relationships/hyperlink" Target="https://app.clickup.com/t/86b5kvpwj" TargetMode="External"/><Relationship Id="rId14" Type="http://schemas.openxmlformats.org/officeDocument/2006/relationships/hyperlink" Target="https://app.clickup.com/t/86b5knqaf" TargetMode="External"/><Relationship Id="rId15" Type="http://schemas.openxmlformats.org/officeDocument/2006/relationships/hyperlink" Target="https://app.clickup.com/t/86b5knqah" TargetMode="External"/><Relationship Id="rId16" Type="http://schemas.openxmlformats.org/officeDocument/2006/relationships/hyperlink" Target="https://app.clickup.com/t/86b5knqam" TargetMode="External"/><Relationship Id="rId17" Type="http://schemas.openxmlformats.org/officeDocument/2006/relationships/hyperlink" Target="https://app.clickup.com/t/86b5knqat" TargetMode="External"/><Relationship Id="rId18" Type="http://schemas.openxmlformats.org/officeDocument/2006/relationships/hyperlink" Target="https://app.clickup.com/t/86b5ky00x" TargetMode="External"/><Relationship Id="rId19" Type="http://schemas.openxmlformats.org/officeDocument/2006/relationships/hyperlink" Target="https://app.clickup.com/t/86b5kxkza" TargetMode="External"/><Relationship Id="rId20" Type="http://schemas.openxmlformats.org/officeDocument/2006/relationships/hyperlink" Target="https://app.clickup.com/t/86b5kykzm" TargetMode="External"/><Relationship Id="rId21" Type="http://schemas.openxmlformats.org/officeDocument/2006/relationships/hyperlink" Target="https://app.clickup.com/t/86b5m6hjj" TargetMode="External"/><Relationship Id="rId22" Type="http://schemas.openxmlformats.org/officeDocument/2006/relationships/hyperlink" Target="https://app.clickup.com/t/86b5mjbwj" TargetMode="External"/><Relationship Id="rId23" Type="http://schemas.openxmlformats.org/officeDocument/2006/relationships/hyperlink" Target="https://app.clickup.com/t/86b5mntbq" TargetMode="External"/><Relationship Id="rId24" Type="http://schemas.openxmlformats.org/officeDocument/2006/relationships/hyperlink" Target="https://app.clickup.com/t/86b5mmv9u" TargetMode="External"/><Relationship Id="rId25" Type="http://schemas.openxmlformats.org/officeDocument/2006/relationships/hyperlink" Target="https://app.clickup.com/t/86b5nbr64" TargetMode="External"/><Relationship Id="rId26" Type="http://schemas.openxmlformats.org/officeDocument/2006/relationships/hyperlink" Target="https://app.clickup.com/t/86b5nbz27" TargetMode="External"/><Relationship Id="rId27" Type="http://schemas.openxmlformats.org/officeDocument/2006/relationships/hyperlink" Target="https://app.clickup.com/t/454056/ZL-1598" TargetMode="External"/><Relationship Id="rId28" Type="http://schemas.openxmlformats.org/officeDocument/2006/relationships/hyperlink" Target="https://app.clickup.com/t/86b5nnp10" TargetMode="External"/><Relationship Id="rId29" Type="http://schemas.openxmlformats.org/officeDocument/2006/relationships/hyperlink" Target="https://app.clickup.com/t/86b5nqx8e" TargetMode="External"/><Relationship Id="rId30" Type="http://schemas.openxmlformats.org/officeDocument/2006/relationships/hyperlink" Target="https://app.clickup.com/t/454056/SLA-1615" TargetMode="External"/><Relationship Id="rId31" Type="http://schemas.openxmlformats.org/officeDocument/2006/relationships/hyperlink" Target="https://app.clickup.com/t/86b5p7u0b" TargetMode="External"/><Relationship Id="rId32" Type="http://schemas.openxmlformats.org/officeDocument/2006/relationships/hyperlink" Target="https://app.clickup.com/t/86b5p9y2g" TargetMode="External"/><Relationship Id="rId33" Type="http://schemas.openxmlformats.org/officeDocument/2006/relationships/hyperlink" Target="https://app.clickup.com/t/86b5pc95b" TargetMode="External"/><Relationship Id="rId34" Type="http://schemas.openxmlformats.org/officeDocument/2006/relationships/hyperlink" Target="https://app.clickup.com/t/86b5pqdrt" TargetMode="External"/><Relationship Id="rId35" Type="http://schemas.openxmlformats.org/officeDocument/2006/relationships/hyperlink" Target="https://app.clickup.com/t/86b5q4yak" TargetMode="External"/><Relationship Id="rId36" Type="http://schemas.openxmlformats.org/officeDocument/2006/relationships/hyperlink" Target="https://app.clickup.com/t/86b5rrqa6" TargetMode="External"/><Relationship Id="rId37" Type="http://schemas.openxmlformats.org/officeDocument/2006/relationships/hyperlink" Target="https://app.clickup.com/t/86b5rrruk" TargetMode="External"/><Relationship Id="rId38" Type="http://schemas.openxmlformats.org/officeDocument/2006/relationships/hyperlink" Target="https://app.clickup.com/t/86b5t8e5k" TargetMode="External"/><Relationship Id="rId39" Type="http://schemas.openxmlformats.org/officeDocument/2006/relationships/hyperlink" Target="https://app.clickup.com/t/86b5rg74t" TargetMode="External"/><Relationship Id="rId40" Type="http://schemas.openxmlformats.org/officeDocument/2006/relationships/hyperlink" Target="https://app.clickup.com/t/86b5tap3z" TargetMode="External"/><Relationship Id="rId41" Type="http://schemas.openxmlformats.org/officeDocument/2006/relationships/hyperlink" Target="https://app.clickup.com/t/86b5thd3g" TargetMode="External"/><Relationship Id="rId42" Type="http://schemas.openxmlformats.org/officeDocument/2006/relationships/hyperlink" Target="https://app.clickup.com/t/86b5the6m" TargetMode="External"/><Relationship Id="rId43" Type="http://schemas.openxmlformats.org/officeDocument/2006/relationships/hyperlink" Target="https://app.clickup.com/t/86b5tzba9" TargetMode="External"/><Relationship Id="rId44" Type="http://schemas.openxmlformats.org/officeDocument/2006/relationships/hyperlink" Target="https://app.clickup.com/t/86b5u33yy" TargetMode="External"/><Relationship Id="rId45" Type="http://schemas.openxmlformats.org/officeDocument/2006/relationships/hyperlink" Target="https://app.clickup.com/t/86b5u2m2p" TargetMode="External"/><Relationship Id="rId46" Type="http://schemas.openxmlformats.org/officeDocument/2006/relationships/hyperlink" Target="https://app.clickup.com/t/86b5wj0b1" TargetMode="External"/><Relationship Id="rId47" Type="http://schemas.openxmlformats.org/officeDocument/2006/relationships/hyperlink" Target="https://app.clickup.com/t/86b5w8g5a" TargetMode="External"/><Relationship Id="rId48" Type="http://schemas.openxmlformats.org/officeDocument/2006/relationships/hyperlink" Target="https://app.clickup.com/t/86b5wggx0" TargetMode="External"/><Relationship Id="rId49" Type="http://schemas.openxmlformats.org/officeDocument/2006/relationships/hyperlink" Target="https://app.clickup.com/t/86b5whrr8" TargetMode="External"/><Relationship Id="rId50" Type="http://schemas.openxmlformats.org/officeDocument/2006/relationships/hyperlink" Target="https://app.clickup.com/t/86b5x7bfj" TargetMode="External"/><Relationship Id="rId51" Type="http://schemas.openxmlformats.org/officeDocument/2006/relationships/hyperlink" Target="https://app.clickup.com/t/454056/ZL-1603" TargetMode="External"/><Relationship Id="rId52" Type="http://schemas.openxmlformats.org/officeDocument/2006/relationships/hyperlink" Target="https://app.clickup.com/t/86b5yvz4q" TargetMode="External"/><Relationship Id="rId53" Type="http://schemas.openxmlformats.org/officeDocument/2006/relationships/hyperlink" Target="https://app.clickup.com/t/86b5yvkmm" TargetMode="External"/><Relationship Id="rId54" Type="http://schemas.openxmlformats.org/officeDocument/2006/relationships/hyperlink" Target="https://app.clickup.com/t/86b5z279d" TargetMode="External"/><Relationship Id="rId55" Type="http://schemas.openxmlformats.org/officeDocument/2006/relationships/hyperlink" Target="https://app.clickup.com/t/86b5z2axq" TargetMode="External"/><Relationship Id="rId56" Type="http://schemas.openxmlformats.org/officeDocument/2006/relationships/hyperlink" Target="https://app.clickup.com/t/86b5z1u0v" TargetMode="External"/><Relationship Id="rId57" Type="http://schemas.openxmlformats.org/officeDocument/2006/relationships/vmlDrawing" Target="../drawings/vmlDrawing7.vml"/><Relationship Id="rId58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app.clickup.com/t/86b5zydfx" TargetMode="External"/><Relationship Id="rId3" Type="http://schemas.openxmlformats.org/officeDocument/2006/relationships/hyperlink" Target="https://app.clickup.com/t/86b5zxja3" TargetMode="External"/><Relationship Id="rId4" Type="http://schemas.openxmlformats.org/officeDocument/2006/relationships/hyperlink" Target="https://app.clickup.com/t/86b60321h" TargetMode="External"/><Relationship Id="rId5" Type="http://schemas.openxmlformats.org/officeDocument/2006/relationships/hyperlink" Target="https://app.clickup.com/t/86b61p2x1" TargetMode="External"/><Relationship Id="rId6" Type="http://schemas.openxmlformats.org/officeDocument/2006/relationships/hyperlink" Target="https://app.clickup.com/t/86b61u762" TargetMode="External"/><Relationship Id="rId7" Type="http://schemas.openxmlformats.org/officeDocument/2006/relationships/hyperlink" Target="https://app.clickup.com/t/86b61ucue" TargetMode="External"/><Relationship Id="rId8" Type="http://schemas.openxmlformats.org/officeDocument/2006/relationships/hyperlink" Target="https://app.clickup.com/t/86b61uykz" TargetMode="External"/><Relationship Id="rId9" Type="http://schemas.openxmlformats.org/officeDocument/2006/relationships/hyperlink" Target="https://app.clickup.com/t/86b61vhkm" TargetMode="External"/><Relationship Id="rId10" Type="http://schemas.openxmlformats.org/officeDocument/2006/relationships/hyperlink" Target="https://app.clickup.com/t/86b621ajx" TargetMode="External"/><Relationship Id="rId11" Type="http://schemas.openxmlformats.org/officeDocument/2006/relationships/hyperlink" Target="https://app.clickup.com/t/86b623ftd" TargetMode="External"/><Relationship Id="rId12" Type="http://schemas.openxmlformats.org/officeDocument/2006/relationships/hyperlink" Target="https://app.clickup.com/t/86b61vhkm" TargetMode="External"/><Relationship Id="rId13" Type="http://schemas.openxmlformats.org/officeDocument/2006/relationships/hyperlink" Target="https://app.clickup.com/t/86b62wuzz" TargetMode="External"/><Relationship Id="rId14" Type="http://schemas.openxmlformats.org/officeDocument/2006/relationships/hyperlink" Target="https://app.clickup.com/t/86b62va6r" TargetMode="External"/><Relationship Id="rId15" Type="http://schemas.openxmlformats.org/officeDocument/2006/relationships/hyperlink" Target="https://app.clickup.com/t/86b62x0wz" TargetMode="External"/><Relationship Id="rId16" Type="http://schemas.openxmlformats.org/officeDocument/2006/relationships/hyperlink" Target="https://app.clickup.com/t/86b639rra" TargetMode="External"/><Relationship Id="rId17" Type="http://schemas.openxmlformats.org/officeDocument/2006/relationships/hyperlink" Target="https://app.clickup.com/t/86b639t1m" TargetMode="External"/><Relationship Id="rId18" Type="http://schemas.openxmlformats.org/officeDocument/2006/relationships/hyperlink" Target="https://app.clickup.com/t/86b63yqg2" TargetMode="External"/><Relationship Id="rId19" Type="http://schemas.openxmlformats.org/officeDocument/2006/relationships/hyperlink" Target="https://app.clickup.com/t/86b648k4z" TargetMode="External"/><Relationship Id="rId20" Type="http://schemas.openxmlformats.org/officeDocument/2006/relationships/hyperlink" Target="https://app.clickup.com/t/86b649uue" TargetMode="External"/><Relationship Id="rId21" Type="http://schemas.openxmlformats.org/officeDocument/2006/relationships/hyperlink" Target="https://app.clickup.com/t/86b64ang2" TargetMode="External"/><Relationship Id="rId22" Type="http://schemas.openxmlformats.org/officeDocument/2006/relationships/hyperlink" Target="https://app.clickup.com/t/86b65z3vd" TargetMode="External"/><Relationship Id="rId23" Type="http://schemas.openxmlformats.org/officeDocument/2006/relationships/hyperlink" Target="https://app.clickup.com/t/86b64cgu0" TargetMode="External"/><Relationship Id="rId24" Type="http://schemas.openxmlformats.org/officeDocument/2006/relationships/hyperlink" Target="https://app.clickup.com/t/86b63xfvh" TargetMode="External"/><Relationship Id="rId25" Type="http://schemas.openxmlformats.org/officeDocument/2006/relationships/hyperlink" Target="https://app.clickup.com/t/86b6614z6" TargetMode="External"/><Relationship Id="rId26" Type="http://schemas.openxmlformats.org/officeDocument/2006/relationships/hyperlink" Target="https://app.clickup.com/t/86b66312g" TargetMode="External"/><Relationship Id="rId27" Type="http://schemas.openxmlformats.org/officeDocument/2006/relationships/hyperlink" Target="https://app.clickup.com/t/86b66109e" TargetMode="External"/><Relationship Id="rId28" Type="http://schemas.openxmlformats.org/officeDocument/2006/relationships/hyperlink" Target="https://app.clickup.com/t/86b667hz6" TargetMode="External"/><Relationship Id="rId29" Type="http://schemas.openxmlformats.org/officeDocument/2006/relationships/hyperlink" Target="https://app.clickup.com/t/86b66ybkm" TargetMode="External"/><Relationship Id="rId30" Type="http://schemas.openxmlformats.org/officeDocument/2006/relationships/hyperlink" Target="https://app.clickup.com/t/86b6726e8" TargetMode="External"/><Relationship Id="rId31" Type="http://schemas.openxmlformats.org/officeDocument/2006/relationships/hyperlink" Target="https://app.clickup.com/t/86b672w1d" TargetMode="External"/><Relationship Id="rId32" Type="http://schemas.openxmlformats.org/officeDocument/2006/relationships/hyperlink" Target="https://app.clickup.com/t/86b673ehf" TargetMode="External"/><Relationship Id="rId33" Type="http://schemas.openxmlformats.org/officeDocument/2006/relationships/hyperlink" Target="https://app.clickup.com/t/86b67p41y" TargetMode="External"/><Relationship Id="rId34" Type="http://schemas.openxmlformats.org/officeDocument/2006/relationships/hyperlink" Target="https://app.clickup.com/t/86b68aeg0" TargetMode="External"/><Relationship Id="rId35" Type="http://schemas.openxmlformats.org/officeDocument/2006/relationships/hyperlink" Target="https://app.clickup.com/t/86b68hbqn" TargetMode="External"/><Relationship Id="rId36" Type="http://schemas.openxmlformats.org/officeDocument/2006/relationships/hyperlink" Target="https://app.clickup.com/t/86b68k2gc" TargetMode="External"/><Relationship Id="rId37" Type="http://schemas.openxmlformats.org/officeDocument/2006/relationships/hyperlink" Target="https://app.clickup.com/t/86b694dhv" TargetMode="External"/><Relationship Id="rId38" Type="http://schemas.openxmlformats.org/officeDocument/2006/relationships/hyperlink" Target="https://app.clickup.com/t/86b6aunct" TargetMode="External"/><Relationship Id="rId39" Type="http://schemas.openxmlformats.org/officeDocument/2006/relationships/hyperlink" Target="https://app.clickup.com/t/86b6aw06j" TargetMode="External"/><Relationship Id="rId40" Type="http://schemas.openxmlformats.org/officeDocument/2006/relationships/hyperlink" Target="https://app.clickup.com/t/86b6athxm" TargetMode="External"/><Relationship Id="rId41" Type="http://schemas.openxmlformats.org/officeDocument/2006/relationships/hyperlink" Target="https://app.clickup.com/t/86b6b04mu" TargetMode="External"/><Relationship Id="rId42" Type="http://schemas.openxmlformats.org/officeDocument/2006/relationships/hyperlink" Target="https://app.clickup.com/t/86b6b0p11" TargetMode="External"/><Relationship Id="rId43" Type="http://schemas.openxmlformats.org/officeDocument/2006/relationships/hyperlink" Target="https://app.clickup.com/t/86b6bhqpb" TargetMode="External"/><Relationship Id="rId44" Type="http://schemas.openxmlformats.org/officeDocument/2006/relationships/hyperlink" Target="https://app.clickup.com/t/86b6bpew6" TargetMode="External"/><Relationship Id="rId45" Type="http://schemas.openxmlformats.org/officeDocument/2006/relationships/hyperlink" Target="https://app.clickup.com/t/86b6bybj4" TargetMode="External"/><Relationship Id="rId46" Type="http://schemas.openxmlformats.org/officeDocument/2006/relationships/hyperlink" Target="https://app.clickup.com/t/86b6cfgc5" TargetMode="External"/><Relationship Id="rId47" Type="http://schemas.openxmlformats.org/officeDocument/2006/relationships/hyperlink" Target="https://app.clickup.com/t/86b6cfcpp" TargetMode="External"/><Relationship Id="rId48" Type="http://schemas.openxmlformats.org/officeDocument/2006/relationships/hyperlink" Target="https://app.clickup.com/t/86b6ckukn" TargetMode="External"/><Relationship Id="rId49" Type="http://schemas.openxmlformats.org/officeDocument/2006/relationships/hyperlink" Target="https://app.clickup.com/t/86b6dam9f" TargetMode="External"/><Relationship Id="rId50" Type="http://schemas.openxmlformats.org/officeDocument/2006/relationships/hyperlink" Target="https://app.clickup.com/t/86b6dgmc7" TargetMode="External"/><Relationship Id="rId51" Type="http://schemas.openxmlformats.org/officeDocument/2006/relationships/hyperlink" Target="https://app.clickup.com/t/86b6dkrrz" TargetMode="External"/><Relationship Id="rId52" Type="http://schemas.openxmlformats.org/officeDocument/2006/relationships/hyperlink" Target="https://app.clickup.com/t/86b6dqh2c" TargetMode="External"/><Relationship Id="rId53" Type="http://schemas.openxmlformats.org/officeDocument/2006/relationships/hyperlink" Target="https://app.clickup.com/t/86b6dyzmv" TargetMode="External"/><Relationship Id="rId54" Type="http://schemas.openxmlformats.org/officeDocument/2006/relationships/hyperlink" Target="https://app.clickup.com/t/86b6dz1b2" TargetMode="External"/><Relationship Id="rId55" Type="http://schemas.openxmlformats.org/officeDocument/2006/relationships/hyperlink" Target="https://app.clickup.com/t/86b6e7vpa" TargetMode="External"/><Relationship Id="rId56" Type="http://schemas.openxmlformats.org/officeDocument/2006/relationships/hyperlink" Target="https://app.clickup.com/t/86b6eg6fv" TargetMode="External"/><Relationship Id="rId57" Type="http://schemas.openxmlformats.org/officeDocument/2006/relationships/hyperlink" Target="https://app.clickup.com/t/86b6efvau" TargetMode="External"/><Relationship Id="rId58" Type="http://schemas.openxmlformats.org/officeDocument/2006/relationships/hyperlink" Target="https://app.clickup.com/t/86b6efb94" TargetMode="External"/><Relationship Id="rId59" Type="http://schemas.openxmlformats.org/officeDocument/2006/relationships/hyperlink" Target="https://app.clickup.com/t/86b6epb8d" TargetMode="External"/><Relationship Id="rId60" Type="http://schemas.openxmlformats.org/officeDocument/2006/relationships/hyperlink" Target="https://app.clickup.com/t/86b6ej8j2" TargetMode="External"/><Relationship Id="rId61" Type="http://schemas.openxmlformats.org/officeDocument/2006/relationships/hyperlink" Target="https://app.clickup.com/t/86b6f1zxw" TargetMode="External"/><Relationship Id="rId62" Type="http://schemas.openxmlformats.org/officeDocument/2006/relationships/hyperlink" Target="https://app.clickup.com/t/86b6f977a" TargetMode="External"/><Relationship Id="rId63" Type="http://schemas.openxmlformats.org/officeDocument/2006/relationships/hyperlink" Target="https://app.clickup.com/t/86b6f98ca" TargetMode="External"/><Relationship Id="rId64" Type="http://schemas.openxmlformats.org/officeDocument/2006/relationships/hyperlink" Target="https://app.clickup.com/t/86b6fm8tf" TargetMode="External"/><Relationship Id="rId65" Type="http://schemas.openxmlformats.org/officeDocument/2006/relationships/vmlDrawing" Target="../drawings/vmlDrawing8.vml"/><Relationship Id="rId66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app.clickup.com/t/86b6ge9m2" TargetMode="External"/><Relationship Id="rId3" Type="http://schemas.openxmlformats.org/officeDocument/2006/relationships/hyperlink" Target="https://app.clickup.com/t/86b6gu0re" TargetMode="External"/><Relationship Id="rId4" Type="http://schemas.openxmlformats.org/officeDocument/2006/relationships/hyperlink" Target="https://app.clickup.com/t/86b6gvmej" TargetMode="External"/><Relationship Id="rId5" Type="http://schemas.openxmlformats.org/officeDocument/2006/relationships/hyperlink" Target="https://app.clickup.com/t/86b6hemvf" TargetMode="External"/><Relationship Id="rId6" Type="http://schemas.openxmlformats.org/officeDocument/2006/relationships/hyperlink" Target="https://app.clickup.com/t/86b6hx03d" TargetMode="External"/><Relationship Id="rId7" Type="http://schemas.openxmlformats.org/officeDocument/2006/relationships/hyperlink" Target="https://app.clickup.com/t/86b6j7rhj" TargetMode="External"/><Relationship Id="rId8" Type="http://schemas.openxmlformats.org/officeDocument/2006/relationships/hyperlink" Target="https://app.clickup.com/t/86b6jevpm" TargetMode="External"/><Relationship Id="rId9" Type="http://schemas.openxmlformats.org/officeDocument/2006/relationships/hyperlink" Target="https://app.clickup.com/t/86b6jk0m5" TargetMode="External"/><Relationship Id="rId10" Type="http://schemas.openxmlformats.org/officeDocument/2006/relationships/hyperlink" Target="https://app.clickup.com/t/86b6m0qgu" TargetMode="External"/><Relationship Id="rId11" Type="http://schemas.openxmlformats.org/officeDocument/2006/relationships/hyperlink" Target="https://app.clickup.com/t/86b6mgr1r" TargetMode="External"/><Relationship Id="rId12" Type="http://schemas.openxmlformats.org/officeDocument/2006/relationships/hyperlink" Target="https://app.clickup.com/t/86b6n5z0d" TargetMode="External"/><Relationship Id="rId13" Type="http://schemas.openxmlformats.org/officeDocument/2006/relationships/hyperlink" Target="https://app.clickup.com/t/86b6njqpw" TargetMode="External"/><Relationship Id="rId14" Type="http://schemas.openxmlformats.org/officeDocument/2006/relationships/hyperlink" Target="https://app.clickup.com/t/86b6nrz9z" TargetMode="External"/><Relationship Id="rId15" Type="http://schemas.openxmlformats.org/officeDocument/2006/relationships/hyperlink" Target="https://app.clickup.com/t/86b6nudhx" TargetMode="External"/><Relationship Id="rId16" Type="http://schemas.openxmlformats.org/officeDocument/2006/relationships/hyperlink" Target="https://app.clickup.com/t/86b6nk9jh" TargetMode="External"/><Relationship Id="rId17" Type="http://schemas.openxmlformats.org/officeDocument/2006/relationships/hyperlink" Target="https://app.clickup.com/t/86b6q41km" TargetMode="External"/><Relationship Id="rId18" Type="http://schemas.openxmlformats.org/officeDocument/2006/relationships/hyperlink" Target="https://app.clickup.com/t/86b6ptx76" TargetMode="External"/><Relationship Id="rId19" Type="http://schemas.openxmlformats.org/officeDocument/2006/relationships/hyperlink" Target="https://app.clickup.com/t/86b6qf2gc" TargetMode="External"/><Relationship Id="rId20" Type="http://schemas.openxmlformats.org/officeDocument/2006/relationships/hyperlink" Target="https://app.clickup.com/t/86b6r9r8j" TargetMode="External"/><Relationship Id="rId21" Type="http://schemas.openxmlformats.org/officeDocument/2006/relationships/hyperlink" Target="https://app.clickup.com/t/86b6rfxa4" TargetMode="External"/><Relationship Id="rId22" Type="http://schemas.openxmlformats.org/officeDocument/2006/relationships/hyperlink" Target="https://app.clickup.com/t/86b6rxuhw" TargetMode="External"/><Relationship Id="rId23" Type="http://schemas.openxmlformats.org/officeDocument/2006/relationships/hyperlink" Target="https://app.clickup.com/t/86b6rr5ga" TargetMode="External"/><Relationship Id="rId24" Type="http://schemas.openxmlformats.org/officeDocument/2006/relationships/hyperlink" Target="https://app.clickup.com/t/86b6rv9k8" TargetMode="External"/><Relationship Id="rId25" Type="http://schemas.openxmlformats.org/officeDocument/2006/relationships/hyperlink" Target="https://app.clickup.com/t/86b6tetcg" TargetMode="External"/><Relationship Id="rId26" Type="http://schemas.openxmlformats.org/officeDocument/2006/relationships/hyperlink" Target="https://app.clickup.com/t/86b6th7b4" TargetMode="External"/><Relationship Id="rId27" Type="http://schemas.openxmlformats.org/officeDocument/2006/relationships/hyperlink" Target="https://app.clickup.com/t/86b6uq9uw" TargetMode="External"/><Relationship Id="rId28" Type="http://schemas.openxmlformats.org/officeDocument/2006/relationships/hyperlink" Target="https://app.clickup.com/t/86b6v13wj" TargetMode="External"/><Relationship Id="rId29" Type="http://schemas.openxmlformats.org/officeDocument/2006/relationships/hyperlink" Target="https://app.clickup.com/t/454056/SLA-2122" TargetMode="External"/><Relationship Id="rId30" Type="http://schemas.openxmlformats.org/officeDocument/2006/relationships/hyperlink" Target="https://app.clickup.com/t/86b6vqwu1" TargetMode="External"/><Relationship Id="rId31" Type="http://schemas.openxmlformats.org/officeDocument/2006/relationships/hyperlink" Target="https://app.clickup.com/t/86b6vr354" TargetMode="External"/><Relationship Id="rId32" Type="http://schemas.openxmlformats.org/officeDocument/2006/relationships/hyperlink" Target="https://app.clickup.com/t/86b6vqybz" TargetMode="External"/><Relationship Id="rId33" Type="http://schemas.openxmlformats.org/officeDocument/2006/relationships/hyperlink" Target="https://app.clickup.com/t/86b6wj26v" TargetMode="External"/><Relationship Id="rId34" Type="http://schemas.openxmlformats.org/officeDocument/2006/relationships/hyperlink" Target="https://app.clickup.com/t/86b6wtxmj" TargetMode="External"/><Relationship Id="rId35" Type="http://schemas.openxmlformats.org/officeDocument/2006/relationships/hyperlink" Target="https://app.clickup.com/t/86b6wvgqg" TargetMode="External"/><Relationship Id="rId36" Type="http://schemas.openxmlformats.org/officeDocument/2006/relationships/hyperlink" Target="https://app.clickup.com/t/86b6wwb1p" TargetMode="External"/><Relationship Id="rId37" Type="http://schemas.openxmlformats.org/officeDocument/2006/relationships/hyperlink" Target="https://app.clickup.com/t/86b6x1pbj" TargetMode="External"/><Relationship Id="rId38" Type="http://schemas.openxmlformats.org/officeDocument/2006/relationships/vmlDrawing" Target="../drawings/vmlDrawing9.vml"/><Relationship Id="rId39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s://app.clickup.com/t/86b6xc8fr" TargetMode="External"/><Relationship Id="rId3" Type="http://schemas.openxmlformats.org/officeDocument/2006/relationships/hyperlink" Target="https://app.clickup.com/t/86b6xcn8m" TargetMode="External"/><Relationship Id="rId4" Type="http://schemas.openxmlformats.org/officeDocument/2006/relationships/hyperlink" Target="https://app.clickup.com/t/86b6xed6u" TargetMode="External"/><Relationship Id="rId5" Type="http://schemas.openxmlformats.org/officeDocument/2006/relationships/hyperlink" Target="https://app.clickup.com/t/86b6xjhn8" TargetMode="External"/><Relationship Id="rId6" Type="http://schemas.openxmlformats.org/officeDocument/2006/relationships/hyperlink" Target="https://app.clickup.com/t/86b6xxpqg" TargetMode="External"/><Relationship Id="rId7" Type="http://schemas.openxmlformats.org/officeDocument/2006/relationships/hyperlink" Target="https://app.clickup.com/t/86b6y54tv" TargetMode="External"/><Relationship Id="rId8" Type="http://schemas.openxmlformats.org/officeDocument/2006/relationships/hyperlink" Target="https://app.clickup.com/t/86b6yfrad" TargetMode="External"/><Relationship Id="rId9" Type="http://schemas.openxmlformats.org/officeDocument/2006/relationships/hyperlink" Target="https://app.clickup.com/t/86b6z4mg2" TargetMode="External"/><Relationship Id="rId10" Type="http://schemas.openxmlformats.org/officeDocument/2006/relationships/hyperlink" Target="https://app.clickup.com/t/86b6zbyzy" TargetMode="External"/><Relationship Id="rId11" Type="http://schemas.openxmlformats.org/officeDocument/2006/relationships/hyperlink" Target="https://app.clickup.com/t/86b70amtk" TargetMode="External"/><Relationship Id="rId12" Type="http://schemas.openxmlformats.org/officeDocument/2006/relationships/hyperlink" Target="https://app.clickup.com/t/86b70cezp" TargetMode="External"/><Relationship Id="rId13" Type="http://schemas.openxmlformats.org/officeDocument/2006/relationships/hyperlink" Target="https://app.clickup.com/t/86b70mkng" TargetMode="External"/><Relationship Id="rId14" Type="http://schemas.openxmlformats.org/officeDocument/2006/relationships/hyperlink" Target="https://app.clickup.com/t/86b70pedc" TargetMode="External"/><Relationship Id="rId15" Type="http://schemas.openxmlformats.org/officeDocument/2006/relationships/hyperlink" Target="https://app.clickup.com/t/86b72rya6" TargetMode="External"/><Relationship Id="rId16" Type="http://schemas.openxmlformats.org/officeDocument/2006/relationships/hyperlink" Target="https://app.clickup.com/t/86b732cat" TargetMode="External"/><Relationship Id="rId17" Type="http://schemas.openxmlformats.org/officeDocument/2006/relationships/hyperlink" Target="https://app.clickup.com/t/86b7333dr" TargetMode="External"/><Relationship Id="rId18" Type="http://schemas.openxmlformats.org/officeDocument/2006/relationships/hyperlink" Target="https://app.clickup.com/t/86b73ky71" TargetMode="External"/><Relationship Id="rId19" Type="http://schemas.openxmlformats.org/officeDocument/2006/relationships/hyperlink" Target="https://app.clickup.com/t/86b7470vn" TargetMode="External"/><Relationship Id="rId20" Type="http://schemas.openxmlformats.org/officeDocument/2006/relationships/hyperlink" Target="https://app.clickup.com/t/86b74zqnw" TargetMode="External"/><Relationship Id="rId21" Type="http://schemas.openxmlformats.org/officeDocument/2006/relationships/hyperlink" Target="https://app.clickup.com/t/86b75azn0" TargetMode="External"/><Relationship Id="rId22" Type="http://schemas.openxmlformats.org/officeDocument/2006/relationships/hyperlink" Target="https://app.clickup.com/t/454056/ZL-1622" TargetMode="External"/><Relationship Id="rId23" Type="http://schemas.openxmlformats.org/officeDocument/2006/relationships/hyperlink" Target="https://app.clickup.com/t/86b75r490" TargetMode="External"/><Relationship Id="rId24" Type="http://schemas.openxmlformats.org/officeDocument/2006/relationships/hyperlink" Target="https://app.clickup.com/t/86b75uq73" TargetMode="External"/><Relationship Id="rId25" Type="http://schemas.openxmlformats.org/officeDocument/2006/relationships/hyperlink" Target="https://app.clickup.com/t/86b7603we" TargetMode="External"/><Relationship Id="rId26" Type="http://schemas.openxmlformats.org/officeDocument/2006/relationships/hyperlink" Target="https://app.clickup.com/t/86b75wcja" TargetMode="External"/><Relationship Id="rId27" Type="http://schemas.openxmlformats.org/officeDocument/2006/relationships/hyperlink" Target="https://app.clickup.com/t/86b765dcg" TargetMode="External"/><Relationship Id="rId28" Type="http://schemas.openxmlformats.org/officeDocument/2006/relationships/hyperlink" Target="https://app.clickup.com/t/86b76hcmy" TargetMode="External"/><Relationship Id="rId29" Type="http://schemas.openxmlformats.org/officeDocument/2006/relationships/hyperlink" Target="https://app.clickup.com/t/86b76p0e5" TargetMode="External"/><Relationship Id="rId30" Type="http://schemas.openxmlformats.org/officeDocument/2006/relationships/hyperlink" Target="https://app.clickup.com/t/86b775w6r" TargetMode="External"/><Relationship Id="rId31" Type="http://schemas.openxmlformats.org/officeDocument/2006/relationships/hyperlink" Target="https://app.clickup.com/t/86b785dq0" TargetMode="External"/><Relationship Id="rId32" Type="http://schemas.openxmlformats.org/officeDocument/2006/relationships/hyperlink" Target="https://app.clickup.com/t/86b78cd3k" TargetMode="External"/><Relationship Id="rId33" Type="http://schemas.openxmlformats.org/officeDocument/2006/relationships/hyperlink" Target="https://app.clickup.com/t/86b7944rj" TargetMode="External"/><Relationship Id="rId34" Type="http://schemas.openxmlformats.org/officeDocument/2006/relationships/hyperlink" Target="https://app.clickup.com/t/86b79mp69" TargetMode="External"/><Relationship Id="rId35" Type="http://schemas.openxmlformats.org/officeDocument/2006/relationships/hyperlink" Target="https://app.clickup.com/t/86b79z4u9" TargetMode="External"/><Relationship Id="rId36" Type="http://schemas.openxmlformats.org/officeDocument/2006/relationships/vmlDrawing" Target="../drawings/vmlDrawing10.vml"/><Relationship Id="rId37" Type="http://schemas.openxmlformats.org/officeDocument/2006/relationships/table" Target="../tables/table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s://app.clickup.com/t/86b7bbube" TargetMode="External"/><Relationship Id="rId3" Type="http://schemas.openxmlformats.org/officeDocument/2006/relationships/hyperlink" Target="https://app.clickup.com/t/86b7c8qda" TargetMode="External"/><Relationship Id="rId4" Type="http://schemas.openxmlformats.org/officeDocument/2006/relationships/hyperlink" Target="https://app.clickup.com/t/86b775w6r" TargetMode="External"/><Relationship Id="rId5" Type="http://schemas.openxmlformats.org/officeDocument/2006/relationships/hyperlink" Target="https://app.clickup.com/t/86b7cb0tn" TargetMode="External"/><Relationship Id="rId6" Type="http://schemas.openxmlformats.org/officeDocument/2006/relationships/hyperlink" Target="https://app.clickup.com/t/86b7c0dg3" TargetMode="External"/><Relationship Id="rId7" Type="http://schemas.openxmlformats.org/officeDocument/2006/relationships/hyperlink" Target="https://app.clickup.com/t/86b7cgjzk" TargetMode="External"/><Relationship Id="rId8" Type="http://schemas.openxmlformats.org/officeDocument/2006/relationships/hyperlink" Target="https://app.clickup.com/t/86b7cvuqz" TargetMode="External"/><Relationship Id="rId9" Type="http://schemas.openxmlformats.org/officeDocument/2006/relationships/hyperlink" Target="https://app.clickup.com/t/86b7ctq75" TargetMode="External"/><Relationship Id="rId10" Type="http://schemas.openxmlformats.org/officeDocument/2006/relationships/hyperlink" Target="https://app.clickup.com/t/86b7czudw" TargetMode="External"/><Relationship Id="rId11" Type="http://schemas.openxmlformats.org/officeDocument/2006/relationships/hyperlink" Target="https://app.clickup.com/t/86b7depwp" TargetMode="External"/><Relationship Id="rId12" Type="http://schemas.openxmlformats.org/officeDocument/2006/relationships/hyperlink" Target="https://app.clickup.com/t/86b7cvqbj" TargetMode="External"/><Relationship Id="rId13" Type="http://schemas.openxmlformats.org/officeDocument/2006/relationships/hyperlink" Target="https://app.clickup.com/t/86b7e41xq" TargetMode="External"/><Relationship Id="rId14" Type="http://schemas.openxmlformats.org/officeDocument/2006/relationships/hyperlink" Target="https://app.clickup.com/t/86b7e0hv5" TargetMode="External"/><Relationship Id="rId15" Type="http://schemas.openxmlformats.org/officeDocument/2006/relationships/hyperlink" Target="https://app.clickup.com/t/86b7e0q4e" TargetMode="External"/><Relationship Id="rId16" Type="http://schemas.openxmlformats.org/officeDocument/2006/relationships/hyperlink" Target="https://app.clickup.com/t/86b7e6np4" TargetMode="External"/><Relationship Id="rId17" Type="http://schemas.openxmlformats.org/officeDocument/2006/relationships/hyperlink" Target="https://app.clickup.com/t/86b7e6k1r" TargetMode="External"/><Relationship Id="rId18" Type="http://schemas.openxmlformats.org/officeDocument/2006/relationships/hyperlink" Target="https://app.clickup.com/t/86b7e6hma" TargetMode="External"/><Relationship Id="rId19" Type="http://schemas.openxmlformats.org/officeDocument/2006/relationships/hyperlink" Target="https://app.clickup.com/t/86b7ee1g0" TargetMode="External"/><Relationship Id="rId20" Type="http://schemas.openxmlformats.org/officeDocument/2006/relationships/hyperlink" Target="https://app.clickup.com/t/86b7eff0c" TargetMode="External"/><Relationship Id="rId21" Type="http://schemas.openxmlformats.org/officeDocument/2006/relationships/hyperlink" Target="https://app.clickup.com/t/86b7efpe2" TargetMode="External"/><Relationship Id="rId22" Type="http://schemas.openxmlformats.org/officeDocument/2006/relationships/hyperlink" Target="https://app.clickup.com/t/86b7f5hne" TargetMode="External"/><Relationship Id="rId23" Type="http://schemas.openxmlformats.org/officeDocument/2006/relationships/hyperlink" Target="https://app.clickup.com/t/86b7gu2v6" TargetMode="External"/><Relationship Id="rId24" Type="http://schemas.openxmlformats.org/officeDocument/2006/relationships/hyperlink" Target="https://app.clickup.com/t/86b7h7x9b" TargetMode="External"/><Relationship Id="rId25" Type="http://schemas.openxmlformats.org/officeDocument/2006/relationships/hyperlink" Target="https://app.clickup.com/t/86b7hb8dj" TargetMode="External"/><Relationship Id="rId26" Type="http://schemas.openxmlformats.org/officeDocument/2006/relationships/hyperlink" Target="https://app.clickup.com/t/86b7hba5f" TargetMode="External"/><Relationship Id="rId27" Type="http://schemas.openxmlformats.org/officeDocument/2006/relationships/hyperlink" Target="https://app.clickup.com/t/86b7jweu7" TargetMode="External"/><Relationship Id="rId28" Type="http://schemas.openxmlformats.org/officeDocument/2006/relationships/hyperlink" Target="https://app.clickup.com/t/86b7km2c0" TargetMode="External"/><Relationship Id="rId29" Type="http://schemas.openxmlformats.org/officeDocument/2006/relationships/vmlDrawing" Target="../drawings/vmlDrawing11.vml"/><Relationship Id="rId30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true"/>
  </sheetPr>
  <dimension ref="A1:AH9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67" activePane="bottomRight" state="frozen"/>
      <selection pane="topLeft" activeCell="A1" activeCellId="0" sqref="A1"/>
      <selection pane="topRight" activeCell="D1" activeCellId="0" sqref="D1"/>
      <selection pane="bottomLeft" activeCell="A67" activeCellId="0" sqref="A67"/>
      <selection pane="bottomRigh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75"/>
    <col collapsed="false" customWidth="true" hidden="false" outlineLevel="0" max="3" min="2" style="1" width="13.13"/>
    <col collapsed="false" customWidth="true" hidden="false" outlineLevel="0" max="4" min="4" style="1" width="15.13"/>
    <col collapsed="false" customWidth="true" hidden="false" outlineLevel="0" max="5" min="5" style="1" width="21.38"/>
    <col collapsed="false" customWidth="true" hidden="false" outlineLevel="0" max="6" min="6" style="1" width="37.63"/>
    <col collapsed="false" customWidth="true" hidden="false" outlineLevel="0" max="7" min="7" style="1" width="14.63"/>
    <col collapsed="false" customWidth="true" hidden="false" outlineLevel="0" max="8" min="8" style="1" width="15.88"/>
    <col collapsed="false" customWidth="true" hidden="false" outlineLevel="0" max="9" min="9" style="1" width="13.13"/>
    <col collapsed="false" customWidth="true" hidden="false" outlineLevel="0" max="10" min="10" style="1" width="13.88"/>
    <col collapsed="false" customWidth="true" hidden="false" outlineLevel="0" max="11" min="11" style="1" width="9.52"/>
    <col collapsed="false" customWidth="true" hidden="false" outlineLevel="0" max="12" min="12" style="1" width="15.51"/>
    <col collapsed="false" customWidth="true" hidden="false" outlineLevel="0" max="13" min="13" style="1" width="35.25"/>
    <col collapsed="false" customWidth="true" hidden="false" outlineLevel="0" max="14" min="14" style="1" width="29.52"/>
    <col collapsed="false" customWidth="true" hidden="false" outlineLevel="0" max="15" min="15" style="1" width="23.88"/>
  </cols>
  <sheetData>
    <row r="1" customFormat="false" ht="49.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3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Format="false" ht="22.5" hidden="false" customHeight="true" outlineLevel="0" collapsed="false">
      <c r="A2" s="6" t="n">
        <v>45656</v>
      </c>
      <c r="B2" s="7" t="n">
        <v>1</v>
      </c>
      <c r="C2" s="8" t="s">
        <v>15</v>
      </c>
      <c r="D2" s="8" t="s">
        <v>16</v>
      </c>
      <c r="E2" s="8" t="s">
        <v>17</v>
      </c>
      <c r="F2" s="9" t="s">
        <v>18</v>
      </c>
      <c r="G2" s="10" t="s">
        <v>19</v>
      </c>
      <c r="H2" s="8" t="s">
        <v>20</v>
      </c>
      <c r="I2" s="11" t="s">
        <v>21</v>
      </c>
      <c r="J2" s="6" t="n">
        <v>45659</v>
      </c>
      <c r="K2" s="12" t="n">
        <v>2</v>
      </c>
      <c r="L2" s="13" t="n">
        <v>0.0486111111111111</v>
      </c>
      <c r="M2" s="14" t="s">
        <v>22</v>
      </c>
      <c r="N2" s="15"/>
      <c r="O2" s="16"/>
    </row>
    <row r="3" customFormat="false" ht="22.5" hidden="true" customHeight="true" outlineLevel="0" collapsed="false">
      <c r="A3" s="6" t="n">
        <v>45659</v>
      </c>
      <c r="B3" s="17"/>
      <c r="C3" s="8" t="s">
        <v>15</v>
      </c>
      <c r="D3" s="8" t="s">
        <v>16</v>
      </c>
      <c r="E3" s="8" t="s">
        <v>17</v>
      </c>
      <c r="F3" s="18" t="s">
        <v>23</v>
      </c>
      <c r="G3" s="10" t="s">
        <v>19</v>
      </c>
      <c r="H3" s="8" t="s">
        <v>24</v>
      </c>
      <c r="I3" s="11" t="s">
        <v>21</v>
      </c>
      <c r="J3" s="6" t="n">
        <v>45659</v>
      </c>
      <c r="K3" s="12" t="n">
        <v>0</v>
      </c>
      <c r="L3" s="19" t="n">
        <v>0</v>
      </c>
      <c r="M3" s="20" t="s">
        <v>25</v>
      </c>
      <c r="N3" s="21"/>
      <c r="O3" s="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customFormat="false" ht="22.5" hidden="false" customHeight="true" outlineLevel="0" collapsed="false">
      <c r="A4" s="6" t="n">
        <v>45659</v>
      </c>
      <c r="B4" s="7" t="n">
        <v>1</v>
      </c>
      <c r="C4" s="8" t="s">
        <v>15</v>
      </c>
      <c r="D4" s="8" t="s">
        <v>16</v>
      </c>
      <c r="E4" s="8" t="s">
        <v>17</v>
      </c>
      <c r="F4" s="18" t="s">
        <v>26</v>
      </c>
      <c r="G4" s="10" t="s">
        <v>19</v>
      </c>
      <c r="H4" s="8" t="s">
        <v>20</v>
      </c>
      <c r="I4" s="11" t="s">
        <v>21</v>
      </c>
      <c r="J4" s="6" t="n">
        <v>45659</v>
      </c>
      <c r="K4" s="12" t="n">
        <v>0.5</v>
      </c>
      <c r="L4" s="19" t="n">
        <v>0.0104166666666667</v>
      </c>
      <c r="M4" s="20" t="s">
        <v>27</v>
      </c>
      <c r="N4" s="23" t="s">
        <v>28</v>
      </c>
      <c r="O4" s="18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customFormat="false" ht="22.5" hidden="false" customHeight="true" outlineLevel="0" collapsed="false">
      <c r="A5" s="6" t="n">
        <v>45659</v>
      </c>
      <c r="B5" s="7" t="n">
        <v>1</v>
      </c>
      <c r="C5" s="18" t="s">
        <v>15</v>
      </c>
      <c r="D5" s="18" t="s">
        <v>16</v>
      </c>
      <c r="E5" s="18" t="s">
        <v>17</v>
      </c>
      <c r="F5" s="18" t="s">
        <v>29</v>
      </c>
      <c r="G5" s="12" t="s">
        <v>19</v>
      </c>
      <c r="H5" s="18" t="s">
        <v>20</v>
      </c>
      <c r="I5" s="11" t="s">
        <v>21</v>
      </c>
      <c r="J5" s="6" t="n">
        <v>45660</v>
      </c>
      <c r="K5" s="12" t="n">
        <v>2</v>
      </c>
      <c r="L5" s="19" t="n">
        <v>0.182638888888889</v>
      </c>
      <c r="M5" s="20" t="s">
        <v>30</v>
      </c>
      <c r="N5" s="23" t="s">
        <v>31</v>
      </c>
      <c r="O5" s="18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customFormat="false" ht="22.5" hidden="false" customHeight="true" outlineLevel="0" collapsed="false">
      <c r="A6" s="6" t="n">
        <v>45659</v>
      </c>
      <c r="B6" s="7" t="n">
        <v>1</v>
      </c>
      <c r="C6" s="8" t="s">
        <v>15</v>
      </c>
      <c r="D6" s="8" t="s">
        <v>32</v>
      </c>
      <c r="E6" s="8" t="s">
        <v>17</v>
      </c>
      <c r="F6" s="8" t="s">
        <v>33</v>
      </c>
      <c r="G6" s="10" t="s">
        <v>19</v>
      </c>
      <c r="H6" s="8" t="s">
        <v>34</v>
      </c>
      <c r="I6" s="11" t="s">
        <v>21</v>
      </c>
      <c r="J6" s="6" t="n">
        <v>45660</v>
      </c>
      <c r="K6" s="12" t="n">
        <v>2</v>
      </c>
      <c r="L6" s="13" t="n">
        <v>0.0541666666666667</v>
      </c>
      <c r="M6" s="14" t="s">
        <v>35</v>
      </c>
      <c r="N6" s="24"/>
      <c r="O6" s="8"/>
    </row>
    <row r="7" customFormat="false" ht="22.5" hidden="true" customHeight="true" outlineLevel="0" collapsed="false">
      <c r="A7" s="6" t="n">
        <v>45660</v>
      </c>
      <c r="B7" s="17"/>
      <c r="C7" s="8" t="s">
        <v>36</v>
      </c>
      <c r="D7" s="8" t="s">
        <v>16</v>
      </c>
      <c r="E7" s="8" t="s">
        <v>17</v>
      </c>
      <c r="F7" s="8" t="s">
        <v>37</v>
      </c>
      <c r="G7" s="10" t="s">
        <v>19</v>
      </c>
      <c r="H7" s="8" t="s">
        <v>24</v>
      </c>
      <c r="I7" s="11" t="s">
        <v>21</v>
      </c>
      <c r="J7" s="6" t="n">
        <v>45660</v>
      </c>
      <c r="K7" s="12" t="n">
        <v>0</v>
      </c>
      <c r="L7" s="13" t="n">
        <v>0</v>
      </c>
      <c r="M7" s="14" t="s">
        <v>38</v>
      </c>
      <c r="N7" s="24"/>
      <c r="O7" s="8"/>
    </row>
    <row r="8" customFormat="false" ht="22.5" hidden="true" customHeight="true" outlineLevel="0" collapsed="false">
      <c r="A8" s="6" t="n">
        <v>45660</v>
      </c>
      <c r="B8" s="17"/>
      <c r="C8" s="8" t="s">
        <v>36</v>
      </c>
      <c r="D8" s="8" t="s">
        <v>16</v>
      </c>
      <c r="E8" s="8" t="s">
        <v>17</v>
      </c>
      <c r="F8" s="8" t="s">
        <v>39</v>
      </c>
      <c r="G8" s="10" t="s">
        <v>19</v>
      </c>
      <c r="H8" s="8" t="s">
        <v>24</v>
      </c>
      <c r="I8" s="11" t="s">
        <v>21</v>
      </c>
      <c r="J8" s="6" t="n">
        <v>45660</v>
      </c>
      <c r="K8" s="12" t="n">
        <v>0</v>
      </c>
      <c r="L8" s="13" t="n">
        <v>0</v>
      </c>
      <c r="M8" s="25" t="s">
        <v>40</v>
      </c>
      <c r="N8" s="24"/>
      <c r="O8" s="8"/>
    </row>
    <row r="9" customFormat="false" ht="22.5" hidden="true" customHeight="true" outlineLevel="0" collapsed="false">
      <c r="A9" s="26" t="n">
        <v>45664</v>
      </c>
      <c r="B9" s="27"/>
      <c r="C9" s="8" t="s">
        <v>41</v>
      </c>
      <c r="D9" s="8" t="s">
        <v>16</v>
      </c>
      <c r="E9" s="8" t="s">
        <v>17</v>
      </c>
      <c r="F9" s="8" t="s">
        <v>42</v>
      </c>
      <c r="G9" s="10" t="s">
        <v>19</v>
      </c>
      <c r="H9" s="8" t="s">
        <v>24</v>
      </c>
      <c r="I9" s="11" t="s">
        <v>21</v>
      </c>
      <c r="J9" s="6" t="n">
        <v>45664</v>
      </c>
      <c r="K9" s="12" t="n">
        <v>0</v>
      </c>
      <c r="L9" s="13" t="n">
        <v>0</v>
      </c>
      <c r="M9" s="25" t="s">
        <v>43</v>
      </c>
      <c r="N9" s="24"/>
      <c r="O9" s="8"/>
    </row>
    <row r="10" customFormat="false" ht="22.5" hidden="true" customHeight="true" outlineLevel="0" collapsed="false">
      <c r="A10" s="6" t="n">
        <v>45664</v>
      </c>
      <c r="B10" s="17"/>
      <c r="C10" s="8" t="s">
        <v>41</v>
      </c>
      <c r="D10" s="8" t="s">
        <v>16</v>
      </c>
      <c r="E10" s="8" t="s">
        <v>17</v>
      </c>
      <c r="F10" s="8" t="s">
        <v>44</v>
      </c>
      <c r="G10" s="10" t="s">
        <v>19</v>
      </c>
      <c r="H10" s="8" t="s">
        <v>24</v>
      </c>
      <c r="I10" s="11" t="s">
        <v>21</v>
      </c>
      <c r="J10" s="6" t="n">
        <v>45664</v>
      </c>
      <c r="K10" s="12" t="n">
        <v>0</v>
      </c>
      <c r="L10" s="13" t="n">
        <v>0</v>
      </c>
      <c r="M10" s="25" t="s">
        <v>45</v>
      </c>
      <c r="N10" s="24"/>
      <c r="O10" s="8"/>
    </row>
    <row r="11" customFormat="false" ht="22.5" hidden="false" customHeight="true" outlineLevel="0" collapsed="false">
      <c r="A11" s="6" t="n">
        <v>45664</v>
      </c>
      <c r="B11" s="7" t="n">
        <v>1</v>
      </c>
      <c r="C11" s="8" t="s">
        <v>41</v>
      </c>
      <c r="D11" s="8" t="s">
        <v>46</v>
      </c>
      <c r="E11" s="8" t="s">
        <v>17</v>
      </c>
      <c r="F11" s="8" t="s">
        <v>47</v>
      </c>
      <c r="G11" s="10" t="s">
        <v>48</v>
      </c>
      <c r="H11" s="8" t="s">
        <v>20</v>
      </c>
      <c r="I11" s="11" t="s">
        <v>21</v>
      </c>
      <c r="J11" s="6" t="n">
        <v>45674</v>
      </c>
      <c r="K11" s="12" t="n">
        <v>2</v>
      </c>
      <c r="L11" s="13" t="n">
        <v>0.363888888888889</v>
      </c>
      <c r="M11" s="14" t="s">
        <v>49</v>
      </c>
      <c r="N11" s="24"/>
      <c r="O11" s="8"/>
    </row>
    <row r="12" customFormat="false" ht="22.5" hidden="false" customHeight="true" outlineLevel="0" collapsed="false">
      <c r="A12" s="6" t="n">
        <v>45664</v>
      </c>
      <c r="B12" s="7" t="n">
        <v>1</v>
      </c>
      <c r="C12" s="8" t="s">
        <v>41</v>
      </c>
      <c r="D12" s="8" t="s">
        <v>46</v>
      </c>
      <c r="E12" s="8" t="s">
        <v>17</v>
      </c>
      <c r="F12" s="28" t="s">
        <v>50</v>
      </c>
      <c r="G12" s="10" t="s">
        <v>48</v>
      </c>
      <c r="H12" s="8" t="s">
        <v>20</v>
      </c>
      <c r="I12" s="11" t="s">
        <v>21</v>
      </c>
      <c r="J12" s="29" t="n">
        <v>45677</v>
      </c>
      <c r="K12" s="10" t="n">
        <v>2</v>
      </c>
      <c r="L12" s="13" t="n">
        <v>0.0416666666666667</v>
      </c>
      <c r="M12" s="25" t="s">
        <v>51</v>
      </c>
      <c r="N12" s="24"/>
      <c r="O12" s="8"/>
    </row>
    <row r="13" customFormat="false" ht="22.5" hidden="false" customHeight="true" outlineLevel="0" collapsed="false">
      <c r="A13" s="6" t="n">
        <v>45664</v>
      </c>
      <c r="B13" s="7" t="n">
        <v>1</v>
      </c>
      <c r="C13" s="8" t="s">
        <v>41</v>
      </c>
      <c r="D13" s="8" t="s">
        <v>46</v>
      </c>
      <c r="E13" s="8" t="s">
        <v>17</v>
      </c>
      <c r="F13" s="28" t="s">
        <v>52</v>
      </c>
      <c r="G13" s="10" t="s">
        <v>48</v>
      </c>
      <c r="H13" s="8" t="s">
        <v>53</v>
      </c>
      <c r="I13" s="11" t="s">
        <v>21</v>
      </c>
      <c r="J13" s="29" t="n">
        <v>45665</v>
      </c>
      <c r="K13" s="10" t="n">
        <v>2</v>
      </c>
      <c r="L13" s="13" t="n">
        <v>0.123611111111111</v>
      </c>
      <c r="M13" s="25" t="s">
        <v>54</v>
      </c>
      <c r="N13" s="24"/>
      <c r="O13" s="8"/>
    </row>
    <row r="14" customFormat="false" ht="22.5" hidden="false" customHeight="true" outlineLevel="0" collapsed="false">
      <c r="A14" s="6" t="n">
        <v>45664</v>
      </c>
      <c r="B14" s="7" t="n">
        <v>1</v>
      </c>
      <c r="C14" s="8" t="s">
        <v>41</v>
      </c>
      <c r="D14" s="8" t="s">
        <v>46</v>
      </c>
      <c r="E14" s="8" t="s">
        <v>17</v>
      </c>
      <c r="F14" s="30" t="s">
        <v>55</v>
      </c>
      <c r="G14" s="10" t="s">
        <v>48</v>
      </c>
      <c r="H14" s="8" t="s">
        <v>20</v>
      </c>
      <c r="I14" s="11" t="s">
        <v>21</v>
      </c>
      <c r="J14" s="29" t="n">
        <v>45667</v>
      </c>
      <c r="K14" s="10" t="n">
        <v>2</v>
      </c>
      <c r="L14" s="13" t="n">
        <v>0.0736111111111111</v>
      </c>
      <c r="M14" s="14" t="s">
        <v>56</v>
      </c>
      <c r="N14" s="24"/>
      <c r="O14" s="8"/>
    </row>
    <row r="15" customFormat="false" ht="22.5" hidden="true" customHeight="true" outlineLevel="0" collapsed="false">
      <c r="A15" s="6" t="n">
        <v>45664</v>
      </c>
      <c r="B15" s="17"/>
      <c r="C15" s="8" t="s">
        <v>41</v>
      </c>
      <c r="D15" s="8" t="s">
        <v>16</v>
      </c>
      <c r="E15" s="8" t="s">
        <v>17</v>
      </c>
      <c r="F15" s="28" t="s">
        <v>57</v>
      </c>
      <c r="G15" s="10" t="s">
        <v>19</v>
      </c>
      <c r="H15" s="8" t="s">
        <v>24</v>
      </c>
      <c r="I15" s="11" t="s">
        <v>21</v>
      </c>
      <c r="J15" s="29" t="n">
        <v>45664</v>
      </c>
      <c r="K15" s="10" t="n">
        <v>0</v>
      </c>
      <c r="L15" s="13" t="n">
        <v>0</v>
      </c>
      <c r="M15" s="14" t="s">
        <v>58</v>
      </c>
      <c r="N15" s="24"/>
      <c r="O15" s="8" t="s">
        <v>59</v>
      </c>
    </row>
    <row r="16" customFormat="false" ht="22.5" hidden="true" customHeight="true" outlineLevel="0" collapsed="false">
      <c r="A16" s="6" t="n">
        <v>45665</v>
      </c>
      <c r="B16" s="17"/>
      <c r="C16" s="8" t="s">
        <v>60</v>
      </c>
      <c r="D16" s="8" t="s">
        <v>16</v>
      </c>
      <c r="E16" s="8" t="s">
        <v>61</v>
      </c>
      <c r="F16" s="28" t="s">
        <v>62</v>
      </c>
      <c r="G16" s="10" t="s">
        <v>48</v>
      </c>
      <c r="H16" s="8" t="s">
        <v>24</v>
      </c>
      <c r="I16" s="11" t="s">
        <v>21</v>
      </c>
      <c r="J16" s="29" t="n">
        <v>45664</v>
      </c>
      <c r="K16" s="10" t="n">
        <v>0</v>
      </c>
      <c r="L16" s="13" t="n">
        <v>0</v>
      </c>
      <c r="M16" s="31" t="s">
        <v>63</v>
      </c>
      <c r="N16" s="32"/>
      <c r="O16" s="8"/>
    </row>
    <row r="17" customFormat="false" ht="22.5" hidden="true" customHeight="true" outlineLevel="0" collapsed="false">
      <c r="A17" s="6" t="n">
        <v>45665</v>
      </c>
      <c r="B17" s="17"/>
      <c r="C17" s="8" t="s">
        <v>60</v>
      </c>
      <c r="D17" s="8" t="s">
        <v>16</v>
      </c>
      <c r="E17" s="8" t="s">
        <v>17</v>
      </c>
      <c r="F17" s="28" t="s">
        <v>64</v>
      </c>
      <c r="G17" s="10" t="s">
        <v>19</v>
      </c>
      <c r="H17" s="8" t="s">
        <v>24</v>
      </c>
      <c r="I17" s="11" t="s">
        <v>21</v>
      </c>
      <c r="J17" s="29" t="n">
        <v>45673</v>
      </c>
      <c r="K17" s="10" t="n">
        <v>0</v>
      </c>
      <c r="L17" s="13" t="n">
        <v>0</v>
      </c>
      <c r="M17" s="14" t="s">
        <v>65</v>
      </c>
      <c r="N17" s="24"/>
      <c r="O17" s="8"/>
    </row>
    <row r="18" customFormat="false" ht="22.5" hidden="true" customHeight="true" outlineLevel="0" collapsed="false">
      <c r="A18" s="6" t="n">
        <v>45665</v>
      </c>
      <c r="B18" s="17"/>
      <c r="C18" s="8" t="s">
        <v>60</v>
      </c>
      <c r="D18" s="8" t="s">
        <v>16</v>
      </c>
      <c r="E18" s="8" t="s">
        <v>17</v>
      </c>
      <c r="F18" s="28" t="s">
        <v>66</v>
      </c>
      <c r="G18" s="10" t="s">
        <v>19</v>
      </c>
      <c r="H18" s="8" t="s">
        <v>24</v>
      </c>
      <c r="I18" s="11" t="s">
        <v>21</v>
      </c>
      <c r="J18" s="29" t="n">
        <v>45664</v>
      </c>
      <c r="K18" s="10" t="n">
        <v>0</v>
      </c>
      <c r="L18" s="13" t="n">
        <v>0</v>
      </c>
      <c r="M18" s="25" t="s">
        <v>67</v>
      </c>
      <c r="N18" s="24"/>
      <c r="O18" s="8" t="s">
        <v>68</v>
      </c>
    </row>
    <row r="19" customFormat="false" ht="22.5" hidden="false" customHeight="true" outlineLevel="0" collapsed="false">
      <c r="A19" s="6" t="n">
        <v>45665</v>
      </c>
      <c r="B19" s="7" t="n">
        <v>1</v>
      </c>
      <c r="C19" s="8" t="s">
        <v>60</v>
      </c>
      <c r="D19" s="8" t="s">
        <v>16</v>
      </c>
      <c r="E19" s="8" t="s">
        <v>17</v>
      </c>
      <c r="F19" s="28" t="s">
        <v>69</v>
      </c>
      <c r="G19" s="10" t="s">
        <v>19</v>
      </c>
      <c r="H19" s="8" t="s">
        <v>70</v>
      </c>
      <c r="I19" s="11" t="s">
        <v>21</v>
      </c>
      <c r="J19" s="29" t="n">
        <v>45664</v>
      </c>
      <c r="K19" s="10" t="n">
        <v>3</v>
      </c>
      <c r="L19" s="13" t="n">
        <v>0.106944444444444</v>
      </c>
      <c r="M19" s="25" t="s">
        <v>71</v>
      </c>
      <c r="N19" s="24"/>
      <c r="O19" s="8" t="s">
        <v>68</v>
      </c>
    </row>
    <row r="20" customFormat="false" ht="22.5" hidden="false" customHeight="true" outlineLevel="0" collapsed="false">
      <c r="A20" s="6" t="n">
        <v>45665</v>
      </c>
      <c r="B20" s="7" t="n">
        <v>1</v>
      </c>
      <c r="C20" s="8" t="s">
        <v>60</v>
      </c>
      <c r="D20" s="8" t="s">
        <v>72</v>
      </c>
      <c r="E20" s="8" t="s">
        <v>17</v>
      </c>
      <c r="F20" s="33" t="s">
        <v>73</v>
      </c>
      <c r="G20" s="10" t="s">
        <v>19</v>
      </c>
      <c r="H20" s="8" t="s">
        <v>74</v>
      </c>
      <c r="I20" s="11" t="s">
        <v>21</v>
      </c>
      <c r="J20" s="29" t="n">
        <v>45665</v>
      </c>
      <c r="K20" s="10" t="n">
        <v>0.5</v>
      </c>
      <c r="L20" s="13" t="n">
        <v>0.0416666666666667</v>
      </c>
      <c r="M20" s="25" t="s">
        <v>75</v>
      </c>
      <c r="N20" s="24"/>
      <c r="O20" s="8"/>
    </row>
    <row r="21" customFormat="false" ht="22.5" hidden="true" customHeight="true" outlineLevel="0" collapsed="false">
      <c r="A21" s="6" t="n">
        <v>45665</v>
      </c>
      <c r="B21" s="17"/>
      <c r="C21" s="8" t="s">
        <v>60</v>
      </c>
      <c r="D21" s="8" t="s">
        <v>16</v>
      </c>
      <c r="E21" s="8" t="s">
        <v>17</v>
      </c>
      <c r="F21" s="28" t="s">
        <v>76</v>
      </c>
      <c r="G21" s="10" t="s">
        <v>77</v>
      </c>
      <c r="H21" s="8" t="s">
        <v>24</v>
      </c>
      <c r="I21" s="11" t="s">
        <v>21</v>
      </c>
      <c r="J21" s="29" t="n">
        <v>45664</v>
      </c>
      <c r="K21" s="10" t="n">
        <v>0</v>
      </c>
      <c r="L21" s="13" t="n">
        <v>0</v>
      </c>
      <c r="M21" s="25" t="s">
        <v>78</v>
      </c>
      <c r="N21" s="24"/>
      <c r="O21" s="9"/>
    </row>
    <row r="22" customFormat="false" ht="28.5" hidden="false" customHeight="true" outlineLevel="0" collapsed="false">
      <c r="A22" s="6" t="n">
        <v>45666</v>
      </c>
      <c r="B22" s="7" t="n">
        <v>1</v>
      </c>
      <c r="C22" s="8" t="s">
        <v>15</v>
      </c>
      <c r="D22" s="8" t="s">
        <v>16</v>
      </c>
      <c r="E22" s="8" t="s">
        <v>17</v>
      </c>
      <c r="F22" s="28" t="s">
        <v>79</v>
      </c>
      <c r="G22" s="10" t="s">
        <v>19</v>
      </c>
      <c r="H22" s="8" t="s">
        <v>70</v>
      </c>
      <c r="I22" s="11" t="s">
        <v>21</v>
      </c>
      <c r="J22" s="29" t="n">
        <v>45666</v>
      </c>
      <c r="K22" s="10" t="n">
        <v>3</v>
      </c>
      <c r="L22" s="13" t="n">
        <v>0.0819444444444444</v>
      </c>
      <c r="M22" s="14" t="s">
        <v>80</v>
      </c>
      <c r="N22" s="24"/>
      <c r="O22" s="8"/>
    </row>
    <row r="23" customFormat="false" ht="22.5" hidden="false" customHeight="true" outlineLevel="0" collapsed="false">
      <c r="A23" s="6" t="n">
        <v>45666</v>
      </c>
      <c r="B23" s="7" t="n">
        <v>1</v>
      </c>
      <c r="C23" s="8" t="s">
        <v>15</v>
      </c>
      <c r="D23" s="8" t="s">
        <v>16</v>
      </c>
      <c r="E23" s="8" t="s">
        <v>17</v>
      </c>
      <c r="F23" s="28" t="s">
        <v>81</v>
      </c>
      <c r="G23" s="10" t="s">
        <v>19</v>
      </c>
      <c r="H23" s="8" t="s">
        <v>70</v>
      </c>
      <c r="I23" s="11" t="s">
        <v>21</v>
      </c>
      <c r="J23" s="29" t="n">
        <v>45667</v>
      </c>
      <c r="K23" s="10" t="n">
        <v>2</v>
      </c>
      <c r="L23" s="13" t="n">
        <v>0.0236111111111111</v>
      </c>
      <c r="M23" s="25" t="s">
        <v>82</v>
      </c>
      <c r="N23" s="24"/>
      <c r="O23" s="8"/>
    </row>
    <row r="24" customFormat="false" ht="16.5" hidden="true" customHeight="true" outlineLevel="0" collapsed="false">
      <c r="A24" s="6" t="n">
        <v>45666</v>
      </c>
      <c r="B24" s="17"/>
      <c r="C24" s="8" t="s">
        <v>15</v>
      </c>
      <c r="D24" s="8" t="s">
        <v>16</v>
      </c>
      <c r="E24" s="8" t="s">
        <v>17</v>
      </c>
      <c r="F24" s="28" t="s">
        <v>83</v>
      </c>
      <c r="G24" s="10" t="s">
        <v>19</v>
      </c>
      <c r="H24" s="8" t="s">
        <v>24</v>
      </c>
      <c r="I24" s="11" t="s">
        <v>21</v>
      </c>
      <c r="J24" s="29" t="n">
        <v>45670</v>
      </c>
      <c r="K24" s="10" t="n">
        <v>0</v>
      </c>
      <c r="L24" s="13" t="n">
        <v>0</v>
      </c>
      <c r="M24" s="25" t="s">
        <v>84</v>
      </c>
      <c r="N24" s="24"/>
      <c r="O24" s="8"/>
    </row>
    <row r="25" customFormat="false" ht="22.5" hidden="false" customHeight="true" outlineLevel="0" collapsed="false">
      <c r="A25" s="6" t="n">
        <v>45667</v>
      </c>
      <c r="B25" s="7" t="n">
        <v>1</v>
      </c>
      <c r="C25" s="8" t="s">
        <v>36</v>
      </c>
      <c r="D25" s="8" t="s">
        <v>85</v>
      </c>
      <c r="E25" s="8" t="s">
        <v>17</v>
      </c>
      <c r="F25" s="28" t="s">
        <v>86</v>
      </c>
      <c r="G25" s="10" t="s">
        <v>77</v>
      </c>
      <c r="H25" s="8" t="s">
        <v>87</v>
      </c>
      <c r="I25" s="11" t="s">
        <v>21</v>
      </c>
      <c r="J25" s="29" t="n">
        <v>45675</v>
      </c>
      <c r="K25" s="10" t="n">
        <v>1</v>
      </c>
      <c r="L25" s="13" t="n">
        <v>0.0756944444444444</v>
      </c>
      <c r="M25" s="25" t="s">
        <v>88</v>
      </c>
      <c r="N25" s="24"/>
      <c r="O25" s="8"/>
    </row>
    <row r="26" customFormat="false" ht="16.5" hidden="false" customHeight="true" outlineLevel="0" collapsed="false">
      <c r="A26" s="6" t="n">
        <v>45667</v>
      </c>
      <c r="B26" s="7" t="n">
        <v>1</v>
      </c>
      <c r="C26" s="8" t="s">
        <v>36</v>
      </c>
      <c r="D26" s="8" t="s">
        <v>85</v>
      </c>
      <c r="E26" s="8" t="s">
        <v>17</v>
      </c>
      <c r="F26" s="28" t="s">
        <v>89</v>
      </c>
      <c r="G26" s="10" t="s">
        <v>77</v>
      </c>
      <c r="H26" s="8" t="s">
        <v>87</v>
      </c>
      <c r="I26" s="11" t="s">
        <v>21</v>
      </c>
      <c r="J26" s="29" t="n">
        <v>45675</v>
      </c>
      <c r="K26" s="10" t="n">
        <v>3</v>
      </c>
      <c r="L26" s="13" t="n">
        <v>0.44375</v>
      </c>
      <c r="M26" s="25" t="s">
        <v>90</v>
      </c>
      <c r="N26" s="24"/>
      <c r="O26" s="8"/>
    </row>
    <row r="27" customFormat="false" ht="22.5" hidden="false" customHeight="true" outlineLevel="0" collapsed="false">
      <c r="A27" s="6" t="n">
        <v>45667</v>
      </c>
      <c r="B27" s="7" t="n">
        <v>1</v>
      </c>
      <c r="C27" s="8" t="s">
        <v>36</v>
      </c>
      <c r="D27" s="8" t="s">
        <v>46</v>
      </c>
      <c r="E27" s="8" t="s">
        <v>91</v>
      </c>
      <c r="F27" s="28" t="s">
        <v>92</v>
      </c>
      <c r="G27" s="10" t="s">
        <v>19</v>
      </c>
      <c r="H27" s="8" t="s">
        <v>53</v>
      </c>
      <c r="I27" s="11" t="s">
        <v>21</v>
      </c>
      <c r="J27" s="29" t="n">
        <v>45670</v>
      </c>
      <c r="K27" s="10" t="n">
        <v>2</v>
      </c>
      <c r="L27" s="13" t="n">
        <v>0.142361111111111</v>
      </c>
      <c r="M27" s="25" t="s">
        <v>93</v>
      </c>
      <c r="N27" s="24"/>
      <c r="O27" s="8"/>
    </row>
    <row r="28" customFormat="false" ht="16.5" hidden="false" customHeight="true" outlineLevel="0" collapsed="false">
      <c r="A28" s="29" t="n">
        <v>45667</v>
      </c>
      <c r="B28" s="7" t="n">
        <v>1</v>
      </c>
      <c r="C28" s="8" t="s">
        <v>36</v>
      </c>
      <c r="D28" s="8" t="s">
        <v>72</v>
      </c>
      <c r="E28" s="8" t="s">
        <v>17</v>
      </c>
      <c r="F28" s="28" t="s">
        <v>94</v>
      </c>
      <c r="G28" s="10" t="s">
        <v>19</v>
      </c>
      <c r="H28" s="8" t="s">
        <v>95</v>
      </c>
      <c r="I28" s="16" t="s">
        <v>21</v>
      </c>
      <c r="J28" s="29" t="n">
        <v>45667</v>
      </c>
      <c r="K28" s="10" t="n">
        <v>1</v>
      </c>
      <c r="L28" s="13" t="n">
        <v>0.0416666666666667</v>
      </c>
      <c r="M28" s="25" t="s">
        <v>96</v>
      </c>
      <c r="N28" s="24"/>
      <c r="O28" s="8"/>
    </row>
    <row r="29" customFormat="false" ht="22.5" hidden="false" customHeight="true" outlineLevel="0" collapsed="false">
      <c r="A29" s="6" t="n">
        <v>45667</v>
      </c>
      <c r="B29" s="7" t="n">
        <v>1</v>
      </c>
      <c r="C29" s="8" t="s">
        <v>36</v>
      </c>
      <c r="D29" s="8" t="s">
        <v>72</v>
      </c>
      <c r="E29" s="8" t="s">
        <v>17</v>
      </c>
      <c r="F29" s="28" t="s">
        <v>97</v>
      </c>
      <c r="G29" s="10" t="s">
        <v>19</v>
      </c>
      <c r="H29" s="8" t="s">
        <v>95</v>
      </c>
      <c r="I29" s="11" t="s">
        <v>21</v>
      </c>
      <c r="J29" s="29" t="n">
        <v>45667</v>
      </c>
      <c r="K29" s="10" t="n">
        <v>2</v>
      </c>
      <c r="L29" s="13" t="n">
        <v>0.0166666666666667</v>
      </c>
      <c r="M29" s="25" t="s">
        <v>98</v>
      </c>
      <c r="N29" s="24"/>
      <c r="O29" s="8"/>
    </row>
    <row r="30" customFormat="false" ht="16.5" hidden="false" customHeight="true" outlineLevel="0" collapsed="false">
      <c r="A30" s="6" t="n">
        <v>45667</v>
      </c>
      <c r="B30" s="7" t="n">
        <v>1</v>
      </c>
      <c r="C30" s="8" t="s">
        <v>36</v>
      </c>
      <c r="D30" s="8" t="s">
        <v>72</v>
      </c>
      <c r="E30" s="8" t="s">
        <v>17</v>
      </c>
      <c r="F30" s="28" t="s">
        <v>99</v>
      </c>
      <c r="G30" s="10" t="s">
        <v>19</v>
      </c>
      <c r="H30" s="8" t="s">
        <v>95</v>
      </c>
      <c r="I30" s="11" t="s">
        <v>21</v>
      </c>
      <c r="J30" s="29" t="n">
        <v>45667</v>
      </c>
      <c r="K30" s="10" t="n">
        <v>1</v>
      </c>
      <c r="L30" s="13" t="n">
        <v>0.0458333333333333</v>
      </c>
      <c r="M30" s="25" t="s">
        <v>100</v>
      </c>
      <c r="N30" s="24"/>
      <c r="O30" s="8"/>
    </row>
    <row r="31" customFormat="false" ht="22.5" hidden="true" customHeight="true" outlineLevel="0" collapsed="false">
      <c r="A31" s="29" t="n">
        <v>45670</v>
      </c>
      <c r="B31" s="34"/>
      <c r="C31" s="8" t="s">
        <v>101</v>
      </c>
      <c r="D31" s="8" t="s">
        <v>16</v>
      </c>
      <c r="E31" s="8" t="s">
        <v>17</v>
      </c>
      <c r="F31" s="28" t="s">
        <v>102</v>
      </c>
      <c r="G31" s="10" t="s">
        <v>19</v>
      </c>
      <c r="H31" s="8" t="s">
        <v>24</v>
      </c>
      <c r="I31" s="16" t="s">
        <v>21</v>
      </c>
      <c r="J31" s="29" t="n">
        <v>45670</v>
      </c>
      <c r="K31" s="10" t="n">
        <v>0</v>
      </c>
      <c r="L31" s="13" t="n">
        <v>0</v>
      </c>
      <c r="M31" s="25" t="s">
        <v>103</v>
      </c>
      <c r="N31" s="24"/>
      <c r="O31" s="8"/>
    </row>
    <row r="32" customFormat="false" ht="16.5" hidden="false" customHeight="true" outlineLevel="0" collapsed="false">
      <c r="A32" s="6" t="n">
        <v>45671</v>
      </c>
      <c r="B32" s="7" t="n">
        <v>1</v>
      </c>
      <c r="C32" s="8" t="s">
        <v>41</v>
      </c>
      <c r="D32" s="8" t="s">
        <v>104</v>
      </c>
      <c r="E32" s="8" t="s">
        <v>17</v>
      </c>
      <c r="F32" s="28" t="s">
        <v>105</v>
      </c>
      <c r="G32" s="10" t="s">
        <v>19</v>
      </c>
      <c r="H32" s="8" t="s">
        <v>95</v>
      </c>
      <c r="I32" s="11" t="s">
        <v>21</v>
      </c>
      <c r="J32" s="29" t="n">
        <v>45675</v>
      </c>
      <c r="K32" s="10" t="n">
        <v>3</v>
      </c>
      <c r="L32" s="13" t="n">
        <v>0.121527777777778</v>
      </c>
      <c r="M32" s="14" t="s">
        <v>106</v>
      </c>
      <c r="N32" s="24"/>
      <c r="O32" s="8"/>
    </row>
    <row r="33" customFormat="false" ht="22.5" hidden="false" customHeight="true" outlineLevel="0" collapsed="false">
      <c r="A33" s="29" t="n">
        <v>45671</v>
      </c>
      <c r="B33" s="7" t="n">
        <v>1</v>
      </c>
      <c r="C33" s="8" t="s">
        <v>41</v>
      </c>
      <c r="D33" s="8" t="s">
        <v>104</v>
      </c>
      <c r="E33" s="8" t="s">
        <v>17</v>
      </c>
      <c r="F33" s="28" t="s">
        <v>107</v>
      </c>
      <c r="G33" s="10" t="s">
        <v>48</v>
      </c>
      <c r="H33" s="8" t="s">
        <v>95</v>
      </c>
      <c r="I33" s="11" t="s">
        <v>21</v>
      </c>
      <c r="J33" s="29" t="n">
        <v>45680</v>
      </c>
      <c r="K33" s="10" t="n">
        <v>2</v>
      </c>
      <c r="L33" s="13" t="n">
        <v>0.102083333333333</v>
      </c>
      <c r="M33" s="14" t="s">
        <v>108</v>
      </c>
      <c r="N33" s="24"/>
      <c r="O33" s="8"/>
    </row>
    <row r="34" customFormat="false" ht="16.5" hidden="false" customHeight="true" outlineLevel="0" collapsed="false">
      <c r="A34" s="29" t="n">
        <v>45672</v>
      </c>
      <c r="B34" s="7" t="n">
        <v>1</v>
      </c>
      <c r="C34" s="8" t="s">
        <v>60</v>
      </c>
      <c r="D34" s="8" t="s">
        <v>46</v>
      </c>
      <c r="E34" s="8" t="s">
        <v>17</v>
      </c>
      <c r="F34" s="28" t="s">
        <v>109</v>
      </c>
      <c r="G34" s="10" t="s">
        <v>77</v>
      </c>
      <c r="H34" s="8" t="s">
        <v>53</v>
      </c>
      <c r="I34" s="11" t="s">
        <v>21</v>
      </c>
      <c r="J34" s="29" t="n">
        <v>45672</v>
      </c>
      <c r="K34" s="10" t="n">
        <v>2</v>
      </c>
      <c r="L34" s="13" t="n">
        <v>0.0652777777777778</v>
      </c>
      <c r="M34" s="14" t="s">
        <v>110</v>
      </c>
      <c r="N34" s="24"/>
      <c r="O34" s="8"/>
    </row>
    <row r="35" customFormat="false" ht="22.5" hidden="false" customHeight="true" outlineLevel="0" collapsed="false">
      <c r="A35" s="29" t="n">
        <v>45672</v>
      </c>
      <c r="B35" s="7" t="n">
        <v>1</v>
      </c>
      <c r="C35" s="8" t="s">
        <v>60</v>
      </c>
      <c r="D35" s="8" t="s">
        <v>16</v>
      </c>
      <c r="E35" s="8" t="s">
        <v>111</v>
      </c>
      <c r="F35" s="28" t="s">
        <v>112</v>
      </c>
      <c r="G35" s="10" t="s">
        <v>19</v>
      </c>
      <c r="H35" s="8" t="s">
        <v>70</v>
      </c>
      <c r="I35" s="11" t="s">
        <v>21</v>
      </c>
      <c r="J35" s="29" t="n">
        <v>45672</v>
      </c>
      <c r="K35" s="10" t="n">
        <v>1</v>
      </c>
      <c r="L35" s="13" t="n">
        <v>0.00694444444444444</v>
      </c>
      <c r="M35" s="14" t="s">
        <v>113</v>
      </c>
      <c r="N35" s="24"/>
      <c r="O35" s="8"/>
    </row>
    <row r="36" customFormat="false" ht="16.5" hidden="false" customHeight="true" outlineLevel="0" collapsed="false">
      <c r="A36" s="29" t="n">
        <v>45672</v>
      </c>
      <c r="B36" s="7" t="n">
        <v>1</v>
      </c>
      <c r="C36" s="8" t="s">
        <v>60</v>
      </c>
      <c r="D36" s="8" t="s">
        <v>104</v>
      </c>
      <c r="E36" s="8" t="s">
        <v>17</v>
      </c>
      <c r="F36" s="28" t="s">
        <v>114</v>
      </c>
      <c r="G36" s="10" t="s">
        <v>48</v>
      </c>
      <c r="H36" s="8" t="s">
        <v>20</v>
      </c>
      <c r="I36" s="11" t="s">
        <v>21</v>
      </c>
      <c r="J36" s="29" t="n">
        <v>45678</v>
      </c>
      <c r="K36" s="10" t="n">
        <v>0.5</v>
      </c>
      <c r="L36" s="13" t="n">
        <v>0.0597222222222222</v>
      </c>
      <c r="M36" s="14" t="s">
        <v>115</v>
      </c>
      <c r="N36" s="24"/>
      <c r="O36" s="8"/>
    </row>
    <row r="37" customFormat="false" ht="22.5" hidden="false" customHeight="true" outlineLevel="0" collapsed="false">
      <c r="A37" s="29" t="n">
        <v>45672</v>
      </c>
      <c r="B37" s="7" t="n">
        <v>1</v>
      </c>
      <c r="C37" s="8" t="s">
        <v>60</v>
      </c>
      <c r="D37" s="8" t="s">
        <v>116</v>
      </c>
      <c r="E37" s="8" t="s">
        <v>17</v>
      </c>
      <c r="F37" s="28" t="s">
        <v>117</v>
      </c>
      <c r="G37" s="10" t="s">
        <v>19</v>
      </c>
      <c r="H37" s="8" t="s">
        <v>87</v>
      </c>
      <c r="I37" s="11" t="s">
        <v>21</v>
      </c>
      <c r="J37" s="29" t="n">
        <v>45674</v>
      </c>
      <c r="K37" s="10" t="n">
        <v>2</v>
      </c>
      <c r="L37" s="13" t="n">
        <v>0.215277777777778</v>
      </c>
      <c r="M37" s="14" t="s">
        <v>118</v>
      </c>
      <c r="N37" s="24"/>
      <c r="O37" s="8"/>
    </row>
    <row r="38" customFormat="false" ht="22.5" hidden="false" customHeight="true" outlineLevel="0" collapsed="false">
      <c r="A38" s="29" t="n">
        <v>45673</v>
      </c>
      <c r="B38" s="7" t="n">
        <v>1</v>
      </c>
      <c r="C38" s="8" t="s">
        <v>15</v>
      </c>
      <c r="D38" s="8" t="s">
        <v>16</v>
      </c>
      <c r="E38" s="8" t="s">
        <v>111</v>
      </c>
      <c r="F38" s="28" t="s">
        <v>119</v>
      </c>
      <c r="G38" s="10" t="s">
        <v>19</v>
      </c>
      <c r="H38" s="8" t="s">
        <v>70</v>
      </c>
      <c r="I38" s="11" t="s">
        <v>21</v>
      </c>
      <c r="J38" s="29" t="n">
        <v>45673</v>
      </c>
      <c r="K38" s="10" t="n">
        <v>2</v>
      </c>
      <c r="L38" s="13" t="n">
        <v>0.0173611111111111</v>
      </c>
      <c r="M38" s="14" t="s">
        <v>120</v>
      </c>
      <c r="N38" s="24"/>
      <c r="O38" s="8"/>
    </row>
    <row r="39" customFormat="false" ht="16.5" hidden="false" customHeight="true" outlineLevel="0" collapsed="false">
      <c r="A39" s="29" t="n">
        <v>45673</v>
      </c>
      <c r="B39" s="7" t="n">
        <v>1</v>
      </c>
      <c r="C39" s="8" t="s">
        <v>15</v>
      </c>
      <c r="D39" s="8" t="s">
        <v>46</v>
      </c>
      <c r="E39" s="8" t="s">
        <v>121</v>
      </c>
      <c r="F39" s="28" t="s">
        <v>122</v>
      </c>
      <c r="G39" s="10" t="s">
        <v>77</v>
      </c>
      <c r="H39" s="8" t="s">
        <v>53</v>
      </c>
      <c r="I39" s="11" t="s">
        <v>21</v>
      </c>
      <c r="J39" s="29" t="n">
        <v>45674</v>
      </c>
      <c r="K39" s="10" t="n">
        <v>2</v>
      </c>
      <c r="L39" s="13" t="n">
        <v>0.208333333333333</v>
      </c>
      <c r="M39" s="14" t="s">
        <v>123</v>
      </c>
      <c r="N39" s="24"/>
      <c r="O39" s="8"/>
    </row>
    <row r="40" customFormat="false" ht="22.5" hidden="false" customHeight="true" outlineLevel="0" collapsed="false">
      <c r="A40" s="29" t="n">
        <v>45673</v>
      </c>
      <c r="B40" s="7" t="n">
        <v>1</v>
      </c>
      <c r="C40" s="8" t="s">
        <v>15</v>
      </c>
      <c r="D40" s="8" t="s">
        <v>16</v>
      </c>
      <c r="E40" s="8" t="s">
        <v>121</v>
      </c>
      <c r="F40" s="28" t="s">
        <v>124</v>
      </c>
      <c r="G40" s="10" t="s">
        <v>19</v>
      </c>
      <c r="H40" s="8" t="s">
        <v>70</v>
      </c>
      <c r="I40" s="11" t="s">
        <v>21</v>
      </c>
      <c r="J40" s="29" t="n">
        <v>45673</v>
      </c>
      <c r="K40" s="10" t="n">
        <v>2</v>
      </c>
      <c r="L40" s="13" t="n">
        <v>0.0215277777777778</v>
      </c>
      <c r="M40" s="25" t="s">
        <v>125</v>
      </c>
      <c r="N40" s="24"/>
      <c r="O40" s="8"/>
    </row>
    <row r="41" customFormat="false" ht="16.5" hidden="false" customHeight="true" outlineLevel="0" collapsed="false">
      <c r="A41" s="29" t="n">
        <v>45673</v>
      </c>
      <c r="B41" s="7" t="n">
        <v>1</v>
      </c>
      <c r="C41" s="8" t="s">
        <v>15</v>
      </c>
      <c r="D41" s="8" t="s">
        <v>126</v>
      </c>
      <c r="E41" s="8" t="s">
        <v>127</v>
      </c>
      <c r="F41" s="28" t="s">
        <v>128</v>
      </c>
      <c r="G41" s="10" t="s">
        <v>19</v>
      </c>
      <c r="H41" s="8" t="s">
        <v>53</v>
      </c>
      <c r="I41" s="11" t="s">
        <v>21</v>
      </c>
      <c r="J41" s="29" t="n">
        <v>45677</v>
      </c>
      <c r="K41" s="10" t="n">
        <v>3</v>
      </c>
      <c r="L41" s="13" t="n">
        <v>0.409722222222222</v>
      </c>
      <c r="M41" s="25" t="s">
        <v>129</v>
      </c>
      <c r="N41" s="24"/>
      <c r="O41" s="8"/>
    </row>
    <row r="42" customFormat="false" ht="22.5" hidden="false" customHeight="true" outlineLevel="0" collapsed="false">
      <c r="A42" s="6" t="n">
        <v>45674</v>
      </c>
      <c r="B42" s="7" t="n">
        <v>1</v>
      </c>
      <c r="C42" s="8" t="s">
        <v>36</v>
      </c>
      <c r="D42" s="8" t="s">
        <v>130</v>
      </c>
      <c r="E42" s="8" t="s">
        <v>17</v>
      </c>
      <c r="F42" s="28" t="s">
        <v>131</v>
      </c>
      <c r="G42" s="10" t="s">
        <v>19</v>
      </c>
      <c r="H42" s="8" t="s">
        <v>70</v>
      </c>
      <c r="I42" s="16" t="s">
        <v>21</v>
      </c>
      <c r="J42" s="29" t="n">
        <v>45674</v>
      </c>
      <c r="K42" s="10" t="n">
        <v>2</v>
      </c>
      <c r="L42" s="13" t="n">
        <v>0.0333333333333333</v>
      </c>
      <c r="M42" s="8"/>
      <c r="N42" s="24"/>
      <c r="O42" s="8"/>
    </row>
    <row r="43" customFormat="false" ht="22.5" hidden="false" customHeight="true" outlineLevel="0" collapsed="false">
      <c r="A43" s="26" t="n">
        <v>45677</v>
      </c>
      <c r="B43" s="7" t="n">
        <v>2</v>
      </c>
      <c r="C43" s="8" t="s">
        <v>101</v>
      </c>
      <c r="D43" s="8" t="s">
        <v>16</v>
      </c>
      <c r="E43" s="8" t="s">
        <v>17</v>
      </c>
      <c r="F43" s="28" t="s">
        <v>132</v>
      </c>
      <c r="G43" s="10" t="s">
        <v>19</v>
      </c>
      <c r="H43" s="8" t="s">
        <v>70</v>
      </c>
      <c r="I43" s="16" t="s">
        <v>21</v>
      </c>
      <c r="J43" s="29" t="n">
        <v>45678</v>
      </c>
      <c r="K43" s="10" t="n">
        <v>3</v>
      </c>
      <c r="L43" s="13" t="n">
        <v>0.184722222222222</v>
      </c>
      <c r="M43" s="25" t="s">
        <v>133</v>
      </c>
      <c r="N43" s="24"/>
      <c r="O43" s="8"/>
    </row>
    <row r="44" customFormat="false" ht="22.5" hidden="false" customHeight="true" outlineLevel="0" collapsed="false">
      <c r="A44" s="29" t="n">
        <v>45677</v>
      </c>
      <c r="B44" s="7" t="n">
        <v>2</v>
      </c>
      <c r="C44" s="8" t="s">
        <v>101</v>
      </c>
      <c r="D44" s="8" t="s">
        <v>134</v>
      </c>
      <c r="E44" s="8" t="s">
        <v>121</v>
      </c>
      <c r="F44" s="28" t="s">
        <v>135</v>
      </c>
      <c r="G44" s="10" t="s">
        <v>77</v>
      </c>
      <c r="H44" s="8" t="s">
        <v>70</v>
      </c>
      <c r="I44" s="11" t="s">
        <v>21</v>
      </c>
      <c r="J44" s="29" t="n">
        <v>45677</v>
      </c>
      <c r="K44" s="10" t="n">
        <v>2</v>
      </c>
      <c r="L44" s="13" t="n">
        <v>0.00486111111111111</v>
      </c>
      <c r="M44" s="14" t="s">
        <v>136</v>
      </c>
      <c r="N44" s="24"/>
      <c r="O44" s="8"/>
    </row>
    <row r="45" customFormat="false" ht="16.5" hidden="false" customHeight="true" outlineLevel="0" collapsed="false">
      <c r="A45" s="29" t="n">
        <v>45677</v>
      </c>
      <c r="B45" s="7" t="n">
        <v>2</v>
      </c>
      <c r="C45" s="8" t="s">
        <v>101</v>
      </c>
      <c r="D45" s="8" t="s">
        <v>134</v>
      </c>
      <c r="E45" s="8" t="s">
        <v>17</v>
      </c>
      <c r="F45" s="28" t="s">
        <v>137</v>
      </c>
      <c r="G45" s="10" t="s">
        <v>77</v>
      </c>
      <c r="H45" s="8" t="s">
        <v>70</v>
      </c>
      <c r="I45" s="11" t="s">
        <v>21</v>
      </c>
      <c r="J45" s="29" t="n">
        <v>45678</v>
      </c>
      <c r="K45" s="10" t="n">
        <v>2</v>
      </c>
      <c r="L45" s="13" t="n">
        <v>0.0118055555555556</v>
      </c>
      <c r="M45" s="25" t="s">
        <v>138</v>
      </c>
      <c r="N45" s="24"/>
      <c r="O45" s="8"/>
    </row>
    <row r="46" customFormat="false" ht="22.5" hidden="false" customHeight="true" outlineLevel="0" collapsed="false">
      <c r="A46" s="29" t="n">
        <v>45677</v>
      </c>
      <c r="B46" s="7" t="n">
        <v>2</v>
      </c>
      <c r="C46" s="8" t="s">
        <v>101</v>
      </c>
      <c r="D46" s="8" t="s">
        <v>139</v>
      </c>
      <c r="E46" s="8" t="s">
        <v>139</v>
      </c>
      <c r="F46" s="28" t="s">
        <v>140</v>
      </c>
      <c r="G46" s="10" t="s">
        <v>19</v>
      </c>
      <c r="H46" s="8" t="s">
        <v>141</v>
      </c>
      <c r="I46" s="11" t="s">
        <v>21</v>
      </c>
      <c r="J46" s="29" t="n">
        <v>45681</v>
      </c>
      <c r="K46" s="10" t="n">
        <v>3</v>
      </c>
      <c r="L46" s="13" t="n">
        <v>0.230555555555556</v>
      </c>
      <c r="M46" s="14" t="s">
        <v>142</v>
      </c>
      <c r="N46" s="24"/>
      <c r="O46" s="8"/>
    </row>
    <row r="47" customFormat="false" ht="16.5" hidden="false" customHeight="true" outlineLevel="0" collapsed="false">
      <c r="A47" s="29" t="n">
        <v>45677</v>
      </c>
      <c r="B47" s="7" t="n">
        <v>2</v>
      </c>
      <c r="C47" s="8" t="s">
        <v>101</v>
      </c>
      <c r="D47" s="8" t="s">
        <v>139</v>
      </c>
      <c r="E47" s="8" t="s">
        <v>139</v>
      </c>
      <c r="F47" s="28" t="s">
        <v>143</v>
      </c>
      <c r="G47" s="10" t="s">
        <v>48</v>
      </c>
      <c r="H47" s="8" t="s">
        <v>141</v>
      </c>
      <c r="I47" s="11" t="s">
        <v>21</v>
      </c>
      <c r="J47" s="29" t="n">
        <v>45679</v>
      </c>
      <c r="K47" s="10" t="n">
        <v>2</v>
      </c>
      <c r="L47" s="13" t="n">
        <v>0.0569444444444444</v>
      </c>
      <c r="M47" s="14" t="s">
        <v>144</v>
      </c>
      <c r="N47" s="24"/>
      <c r="O47" s="8"/>
    </row>
    <row r="48" customFormat="false" ht="16.5" hidden="false" customHeight="true" outlineLevel="0" collapsed="false">
      <c r="A48" s="29" t="n">
        <v>45677</v>
      </c>
      <c r="B48" s="7" t="n">
        <v>2</v>
      </c>
      <c r="C48" s="8" t="s">
        <v>101</v>
      </c>
      <c r="D48" s="8" t="s">
        <v>145</v>
      </c>
      <c r="E48" s="8" t="s">
        <v>146</v>
      </c>
      <c r="F48" s="28" t="s">
        <v>147</v>
      </c>
      <c r="G48" s="10" t="s">
        <v>19</v>
      </c>
      <c r="H48" s="8" t="s">
        <v>95</v>
      </c>
      <c r="I48" s="11" t="s">
        <v>21</v>
      </c>
      <c r="J48" s="29" t="n">
        <v>45692</v>
      </c>
      <c r="K48" s="10" t="n">
        <v>5</v>
      </c>
      <c r="L48" s="13" t="n">
        <v>0.363194444444444</v>
      </c>
      <c r="M48" s="25" t="s">
        <v>148</v>
      </c>
      <c r="N48" s="24"/>
      <c r="O48" s="8"/>
    </row>
    <row r="49" customFormat="false" ht="22.5" hidden="false" customHeight="true" outlineLevel="0" collapsed="false">
      <c r="A49" s="29" t="n">
        <v>45677</v>
      </c>
      <c r="B49" s="7" t="n">
        <v>2</v>
      </c>
      <c r="C49" s="8" t="s">
        <v>101</v>
      </c>
      <c r="D49" s="8" t="s">
        <v>139</v>
      </c>
      <c r="E49" s="8" t="s">
        <v>139</v>
      </c>
      <c r="F49" s="28" t="s">
        <v>149</v>
      </c>
      <c r="G49" s="10" t="s">
        <v>19</v>
      </c>
      <c r="H49" s="8" t="s">
        <v>141</v>
      </c>
      <c r="I49" s="11" t="s">
        <v>21</v>
      </c>
      <c r="J49" s="29" t="n">
        <v>45677</v>
      </c>
      <c r="K49" s="10" t="n">
        <v>1</v>
      </c>
      <c r="L49" s="13" t="n">
        <v>0.0416666666666667</v>
      </c>
      <c r="M49" s="25" t="s">
        <v>150</v>
      </c>
      <c r="N49" s="24"/>
      <c r="O49" s="8"/>
    </row>
    <row r="50" customFormat="false" ht="16.5" hidden="false" customHeight="true" outlineLevel="0" collapsed="false">
      <c r="A50" s="29" t="n">
        <v>45677</v>
      </c>
      <c r="B50" s="7" t="n">
        <v>2</v>
      </c>
      <c r="C50" s="8" t="s">
        <v>101</v>
      </c>
      <c r="D50" s="8" t="s">
        <v>104</v>
      </c>
      <c r="E50" s="8" t="s">
        <v>151</v>
      </c>
      <c r="F50" s="28" t="s">
        <v>152</v>
      </c>
      <c r="G50" s="10" t="s">
        <v>19</v>
      </c>
      <c r="H50" s="8" t="s">
        <v>20</v>
      </c>
      <c r="I50" s="11" t="s">
        <v>21</v>
      </c>
      <c r="J50" s="29" t="n">
        <v>45680</v>
      </c>
      <c r="K50" s="10" t="n">
        <v>3</v>
      </c>
      <c r="L50" s="13" t="n">
        <v>0.326388888888889</v>
      </c>
      <c r="M50" s="14" t="s">
        <v>153</v>
      </c>
      <c r="N50" s="24"/>
      <c r="O50" s="8"/>
    </row>
    <row r="51" customFormat="false" ht="22.5" hidden="true" customHeight="true" outlineLevel="0" collapsed="false">
      <c r="A51" s="29" t="n">
        <v>45677</v>
      </c>
      <c r="B51" s="34"/>
      <c r="C51" s="8" t="s">
        <v>41</v>
      </c>
      <c r="D51" s="8" t="s">
        <v>16</v>
      </c>
      <c r="E51" s="8" t="s">
        <v>17</v>
      </c>
      <c r="F51" s="28" t="s">
        <v>154</v>
      </c>
      <c r="G51" s="10" t="s">
        <v>19</v>
      </c>
      <c r="H51" s="8" t="s">
        <v>24</v>
      </c>
      <c r="I51" s="11" t="s">
        <v>21</v>
      </c>
      <c r="J51" s="29" t="n">
        <v>45681</v>
      </c>
      <c r="K51" s="10" t="n">
        <v>0</v>
      </c>
      <c r="L51" s="13" t="n">
        <v>0</v>
      </c>
      <c r="M51" s="25" t="s">
        <v>155</v>
      </c>
      <c r="N51" s="24"/>
      <c r="O51" s="8"/>
    </row>
    <row r="52" customFormat="false" ht="16.5" hidden="false" customHeight="true" outlineLevel="0" collapsed="false">
      <c r="A52" s="29" t="n">
        <v>45678</v>
      </c>
      <c r="B52" s="7" t="n">
        <v>2</v>
      </c>
      <c r="C52" s="8" t="s">
        <v>41</v>
      </c>
      <c r="D52" s="8" t="s">
        <v>156</v>
      </c>
      <c r="E52" s="8" t="s">
        <v>91</v>
      </c>
      <c r="F52" s="28" t="s">
        <v>157</v>
      </c>
      <c r="G52" s="10" t="s">
        <v>19</v>
      </c>
      <c r="H52" s="8" t="s">
        <v>34</v>
      </c>
      <c r="I52" s="11" t="s">
        <v>21</v>
      </c>
      <c r="J52" s="29" t="n">
        <v>45679</v>
      </c>
      <c r="K52" s="10" t="n">
        <v>1</v>
      </c>
      <c r="L52" s="13" t="n">
        <v>0.0277777777777778</v>
      </c>
      <c r="M52" s="14" t="s">
        <v>158</v>
      </c>
      <c r="N52" s="24"/>
      <c r="O52" s="8"/>
    </row>
    <row r="53" customFormat="false" ht="22.5" hidden="false" customHeight="true" outlineLevel="0" collapsed="false">
      <c r="A53" s="29" t="n">
        <v>45678</v>
      </c>
      <c r="B53" s="7" t="n">
        <v>2</v>
      </c>
      <c r="C53" s="8" t="s">
        <v>41</v>
      </c>
      <c r="D53" s="8" t="s">
        <v>126</v>
      </c>
      <c r="E53" s="8" t="s">
        <v>17</v>
      </c>
      <c r="F53" s="28" t="s">
        <v>159</v>
      </c>
      <c r="G53" s="10" t="s">
        <v>19</v>
      </c>
      <c r="H53" s="8" t="s">
        <v>53</v>
      </c>
      <c r="I53" s="11" t="s">
        <v>21</v>
      </c>
      <c r="J53" s="29" t="n">
        <v>45678</v>
      </c>
      <c r="K53" s="10" t="n">
        <v>2</v>
      </c>
      <c r="L53" s="13" t="n">
        <v>0.0375</v>
      </c>
      <c r="M53" s="25" t="s">
        <v>160</v>
      </c>
      <c r="N53" s="24"/>
      <c r="O53" s="8"/>
    </row>
    <row r="54" customFormat="false" ht="22.5" hidden="false" customHeight="true" outlineLevel="0" collapsed="false">
      <c r="A54" s="29" t="n">
        <v>45678</v>
      </c>
      <c r="B54" s="7" t="n">
        <v>2</v>
      </c>
      <c r="C54" s="8" t="s">
        <v>41</v>
      </c>
      <c r="D54" s="8" t="s">
        <v>126</v>
      </c>
      <c r="E54" s="8" t="s">
        <v>17</v>
      </c>
      <c r="F54" s="28" t="s">
        <v>161</v>
      </c>
      <c r="G54" s="10" t="s">
        <v>19</v>
      </c>
      <c r="H54" s="8" t="s">
        <v>53</v>
      </c>
      <c r="I54" s="11" t="s">
        <v>21</v>
      </c>
      <c r="J54" s="29" t="n">
        <v>45678</v>
      </c>
      <c r="K54" s="10" t="n">
        <v>1</v>
      </c>
      <c r="L54" s="13" t="n">
        <v>0.0458333333333333</v>
      </c>
      <c r="M54" s="25" t="s">
        <v>162</v>
      </c>
      <c r="N54" s="24"/>
      <c r="O54" s="8"/>
    </row>
    <row r="55" customFormat="false" ht="22.5" hidden="true" customHeight="true" outlineLevel="0" collapsed="false">
      <c r="A55" s="29" t="n">
        <v>45678</v>
      </c>
      <c r="B55" s="34"/>
      <c r="C55" s="8" t="s">
        <v>41</v>
      </c>
      <c r="D55" s="8" t="s">
        <v>16</v>
      </c>
      <c r="E55" s="8" t="s">
        <v>17</v>
      </c>
      <c r="F55" s="28" t="s">
        <v>163</v>
      </c>
      <c r="G55" s="10" t="s">
        <v>19</v>
      </c>
      <c r="H55" s="8" t="s">
        <v>24</v>
      </c>
      <c r="I55" s="11" t="s">
        <v>21</v>
      </c>
      <c r="J55" s="29" t="n">
        <v>45679</v>
      </c>
      <c r="K55" s="10" t="n">
        <v>0</v>
      </c>
      <c r="L55" s="8" t="n">
        <v>0</v>
      </c>
      <c r="M55" s="25" t="s">
        <v>164</v>
      </c>
      <c r="N55" s="24"/>
      <c r="O55" s="8"/>
    </row>
    <row r="56" customFormat="false" ht="22.5" hidden="false" customHeight="true" outlineLevel="0" collapsed="false">
      <c r="A56" s="29" t="n">
        <v>45678</v>
      </c>
      <c r="B56" s="7" t="n">
        <v>2</v>
      </c>
      <c r="C56" s="8" t="s">
        <v>60</v>
      </c>
      <c r="D56" s="8" t="s">
        <v>139</v>
      </c>
      <c r="E56" s="8" t="s">
        <v>139</v>
      </c>
      <c r="F56" s="28" t="s">
        <v>165</v>
      </c>
      <c r="G56" s="10" t="s">
        <v>48</v>
      </c>
      <c r="H56" s="8" t="s">
        <v>141</v>
      </c>
      <c r="I56" s="11" t="s">
        <v>21</v>
      </c>
      <c r="J56" s="29" t="n">
        <v>45679</v>
      </c>
      <c r="K56" s="10" t="n">
        <v>0.5</v>
      </c>
      <c r="L56" s="13" t="n">
        <v>0.0138888888888889</v>
      </c>
      <c r="M56" s="25" t="s">
        <v>166</v>
      </c>
      <c r="N56" s="24"/>
      <c r="O56" s="8"/>
    </row>
    <row r="57" customFormat="false" ht="22.5" hidden="false" customHeight="true" outlineLevel="0" collapsed="false">
      <c r="A57" s="29" t="n">
        <v>45679</v>
      </c>
      <c r="B57" s="7" t="n">
        <v>2</v>
      </c>
      <c r="C57" s="8" t="s">
        <v>60</v>
      </c>
      <c r="D57" s="8" t="s">
        <v>167</v>
      </c>
      <c r="E57" s="8" t="s">
        <v>17</v>
      </c>
      <c r="F57" s="28" t="s">
        <v>168</v>
      </c>
      <c r="G57" s="10" t="s">
        <v>19</v>
      </c>
      <c r="H57" s="8" t="s">
        <v>20</v>
      </c>
      <c r="I57" s="11" t="s">
        <v>21</v>
      </c>
      <c r="J57" s="29" t="n">
        <v>45680</v>
      </c>
      <c r="K57" s="10" t="n">
        <v>1</v>
      </c>
      <c r="L57" s="13" t="n">
        <v>0.0222222222222222</v>
      </c>
      <c r="M57" s="25" t="s">
        <v>169</v>
      </c>
      <c r="N57" s="24"/>
      <c r="O57" s="8"/>
    </row>
    <row r="58" customFormat="false" ht="22.5" hidden="false" customHeight="true" outlineLevel="0" collapsed="false">
      <c r="A58" s="29" t="n">
        <v>45679</v>
      </c>
      <c r="B58" s="7" t="n">
        <v>2</v>
      </c>
      <c r="C58" s="8" t="s">
        <v>60</v>
      </c>
      <c r="D58" s="8" t="s">
        <v>139</v>
      </c>
      <c r="E58" s="8" t="s">
        <v>139</v>
      </c>
      <c r="F58" s="28" t="s">
        <v>165</v>
      </c>
      <c r="G58" s="10" t="s">
        <v>48</v>
      </c>
      <c r="H58" s="8" t="s">
        <v>141</v>
      </c>
      <c r="I58" s="11" t="s">
        <v>21</v>
      </c>
      <c r="J58" s="29" t="n">
        <v>45679</v>
      </c>
      <c r="K58" s="10" t="n">
        <v>0.5</v>
      </c>
      <c r="L58" s="13" t="n">
        <v>0.0416666666666667</v>
      </c>
      <c r="M58" s="14" t="s">
        <v>166</v>
      </c>
      <c r="N58" s="24"/>
      <c r="O58" s="8"/>
    </row>
    <row r="59" customFormat="false" ht="22.5" hidden="false" customHeight="true" outlineLevel="0" collapsed="false">
      <c r="A59" s="29" t="n">
        <v>45679</v>
      </c>
      <c r="B59" s="7" t="n">
        <v>2</v>
      </c>
      <c r="C59" s="8" t="s">
        <v>60</v>
      </c>
      <c r="D59" s="8" t="s">
        <v>139</v>
      </c>
      <c r="E59" s="8" t="s">
        <v>139</v>
      </c>
      <c r="F59" s="28" t="s">
        <v>170</v>
      </c>
      <c r="G59" s="10" t="s">
        <v>48</v>
      </c>
      <c r="H59" s="8" t="s">
        <v>141</v>
      </c>
      <c r="I59" s="11" t="s">
        <v>21</v>
      </c>
      <c r="J59" s="29" t="n">
        <v>45679</v>
      </c>
      <c r="K59" s="10" t="n">
        <v>1</v>
      </c>
      <c r="L59" s="13" t="n">
        <v>0.00694444444444444</v>
      </c>
      <c r="M59" s="25" t="s">
        <v>171</v>
      </c>
      <c r="N59" s="24"/>
      <c r="O59" s="8"/>
    </row>
    <row r="60" customFormat="false" ht="22.5" hidden="false" customHeight="true" outlineLevel="0" collapsed="false">
      <c r="A60" s="29" t="n">
        <v>45679</v>
      </c>
      <c r="B60" s="7" t="n">
        <v>2</v>
      </c>
      <c r="C60" s="8" t="s">
        <v>60</v>
      </c>
      <c r="D60" s="8" t="s">
        <v>16</v>
      </c>
      <c r="E60" s="8" t="s">
        <v>17</v>
      </c>
      <c r="F60" s="28" t="s">
        <v>172</v>
      </c>
      <c r="G60" s="10" t="s">
        <v>19</v>
      </c>
      <c r="H60" s="8" t="s">
        <v>20</v>
      </c>
      <c r="I60" s="11" t="s">
        <v>21</v>
      </c>
      <c r="J60" s="29" t="n">
        <v>45680</v>
      </c>
      <c r="K60" s="10" t="n">
        <v>2</v>
      </c>
      <c r="L60" s="13" t="n">
        <v>0.03125</v>
      </c>
      <c r="M60" s="25" t="s">
        <v>173</v>
      </c>
      <c r="N60" s="24"/>
      <c r="O60" s="8"/>
    </row>
    <row r="61" customFormat="false" ht="15.75" hidden="false" customHeight="false" outlineLevel="0" collapsed="false">
      <c r="A61" s="35" t="n">
        <v>45679</v>
      </c>
      <c r="B61" s="7" t="n">
        <v>2</v>
      </c>
      <c r="C61" s="36" t="s">
        <v>15</v>
      </c>
      <c r="D61" s="36" t="s">
        <v>16</v>
      </c>
      <c r="E61" s="36" t="s">
        <v>17</v>
      </c>
      <c r="F61" s="37" t="s">
        <v>174</v>
      </c>
      <c r="G61" s="38" t="s">
        <v>77</v>
      </c>
      <c r="H61" s="36" t="s">
        <v>24</v>
      </c>
      <c r="I61" s="39" t="s">
        <v>21</v>
      </c>
      <c r="J61" s="35" t="n">
        <v>45679</v>
      </c>
      <c r="K61" s="38" t="n">
        <v>0</v>
      </c>
      <c r="L61" s="40" t="n">
        <v>0</v>
      </c>
      <c r="M61" s="41" t="s">
        <v>175</v>
      </c>
      <c r="N61" s="42"/>
      <c r="O61" s="36"/>
    </row>
    <row r="62" customFormat="false" ht="15.75" hidden="false" customHeight="false" outlineLevel="0" collapsed="false">
      <c r="A62" s="35" t="n">
        <v>45680</v>
      </c>
      <c r="B62" s="7" t="n">
        <v>2</v>
      </c>
      <c r="C62" s="36" t="s">
        <v>15</v>
      </c>
      <c r="D62" s="36" t="s">
        <v>16</v>
      </c>
      <c r="E62" s="36" t="s">
        <v>17</v>
      </c>
      <c r="F62" s="37" t="s">
        <v>176</v>
      </c>
      <c r="G62" s="38" t="s">
        <v>77</v>
      </c>
      <c r="H62" s="36" t="s">
        <v>20</v>
      </c>
      <c r="I62" s="39" t="s">
        <v>21</v>
      </c>
      <c r="J62" s="35" t="n">
        <v>45681</v>
      </c>
      <c r="K62" s="38" t="n">
        <v>1</v>
      </c>
      <c r="L62" s="40" t="n">
        <v>0.0527777777777778</v>
      </c>
      <c r="M62" s="41" t="s">
        <v>177</v>
      </c>
      <c r="N62" s="42"/>
      <c r="O62" s="36"/>
    </row>
    <row r="63" customFormat="false" ht="15.75" hidden="false" customHeight="false" outlineLevel="0" collapsed="false">
      <c r="A63" s="35" t="n">
        <v>45680</v>
      </c>
      <c r="B63" s="7" t="n">
        <v>2</v>
      </c>
      <c r="C63" s="36" t="s">
        <v>15</v>
      </c>
      <c r="D63" s="36" t="s">
        <v>156</v>
      </c>
      <c r="E63" s="36" t="s">
        <v>111</v>
      </c>
      <c r="F63" s="37" t="s">
        <v>178</v>
      </c>
      <c r="G63" s="38" t="s">
        <v>179</v>
      </c>
      <c r="H63" s="36" t="s">
        <v>34</v>
      </c>
      <c r="I63" s="39" t="s">
        <v>21</v>
      </c>
      <c r="J63" s="35" t="n">
        <v>45688</v>
      </c>
      <c r="K63" s="38" t="n">
        <v>3</v>
      </c>
      <c r="L63" s="40" t="n">
        <v>0.234722222222222</v>
      </c>
      <c r="M63" s="41" t="s">
        <v>180</v>
      </c>
      <c r="N63" s="42"/>
      <c r="O63" s="36"/>
    </row>
    <row r="64" customFormat="false" ht="15.75" hidden="false" customHeight="false" outlineLevel="0" collapsed="false">
      <c r="A64" s="35" t="n">
        <v>45681</v>
      </c>
      <c r="B64" s="7" t="n">
        <v>2</v>
      </c>
      <c r="C64" s="36" t="s">
        <v>36</v>
      </c>
      <c r="D64" s="36" t="s">
        <v>16</v>
      </c>
      <c r="E64" s="36" t="s">
        <v>17</v>
      </c>
      <c r="F64" s="37" t="s">
        <v>124</v>
      </c>
      <c r="G64" s="38" t="s">
        <v>77</v>
      </c>
      <c r="H64" s="36" t="s">
        <v>20</v>
      </c>
      <c r="I64" s="39" t="s">
        <v>21</v>
      </c>
      <c r="J64" s="43" t="s">
        <v>181</v>
      </c>
      <c r="K64" s="38" t="n">
        <v>1</v>
      </c>
      <c r="L64" s="40" t="n">
        <v>0.0743055555555556</v>
      </c>
      <c r="M64" s="41" t="s">
        <v>182</v>
      </c>
      <c r="N64" s="42"/>
      <c r="O64" s="36"/>
    </row>
    <row r="65" customFormat="false" ht="15.75" hidden="false" customHeight="false" outlineLevel="0" collapsed="false">
      <c r="A65" s="35" t="n">
        <v>45681</v>
      </c>
      <c r="B65" s="7" t="n">
        <v>2</v>
      </c>
      <c r="C65" s="36" t="s">
        <v>36</v>
      </c>
      <c r="D65" s="36" t="s">
        <v>145</v>
      </c>
      <c r="E65" s="36" t="s">
        <v>151</v>
      </c>
      <c r="F65" s="37" t="s">
        <v>183</v>
      </c>
      <c r="G65" s="38" t="s">
        <v>19</v>
      </c>
      <c r="H65" s="36" t="s">
        <v>141</v>
      </c>
      <c r="I65" s="39" t="s">
        <v>21</v>
      </c>
      <c r="J65" s="35" t="n">
        <v>45681</v>
      </c>
      <c r="K65" s="38" t="n">
        <v>2</v>
      </c>
      <c r="L65" s="40" t="n">
        <v>0.14375</v>
      </c>
      <c r="M65" s="41" t="s">
        <v>184</v>
      </c>
      <c r="N65" s="42"/>
      <c r="O65" s="36"/>
    </row>
    <row r="66" customFormat="false" ht="15.75" hidden="false" customHeight="false" outlineLevel="0" collapsed="false">
      <c r="A66" s="35" t="n">
        <v>45681</v>
      </c>
      <c r="B66" s="7" t="n">
        <v>2</v>
      </c>
      <c r="C66" s="36" t="s">
        <v>36</v>
      </c>
      <c r="D66" s="36" t="s">
        <v>156</v>
      </c>
      <c r="E66" s="36" t="s">
        <v>17</v>
      </c>
      <c r="F66" s="37" t="s">
        <v>185</v>
      </c>
      <c r="G66" s="38" t="s">
        <v>19</v>
      </c>
      <c r="H66" s="36" t="s">
        <v>20</v>
      </c>
      <c r="I66" s="39" t="s">
        <v>21</v>
      </c>
      <c r="J66" s="35" t="n">
        <v>45684</v>
      </c>
      <c r="K66" s="38" t="n">
        <v>2</v>
      </c>
      <c r="L66" s="40" t="n">
        <v>0.0833333333333333</v>
      </c>
      <c r="M66" s="41" t="s">
        <v>186</v>
      </c>
      <c r="N66" s="42"/>
      <c r="O66" s="36"/>
    </row>
    <row r="67" customFormat="false" ht="15.75" hidden="false" customHeight="false" outlineLevel="0" collapsed="false">
      <c r="A67" s="35" t="n">
        <v>45681</v>
      </c>
      <c r="B67" s="7" t="n">
        <v>2</v>
      </c>
      <c r="C67" s="36" t="s">
        <v>36</v>
      </c>
      <c r="D67" s="36" t="s">
        <v>139</v>
      </c>
      <c r="E67" s="36" t="s">
        <v>17</v>
      </c>
      <c r="F67" s="37" t="s">
        <v>187</v>
      </c>
      <c r="G67" s="38" t="s">
        <v>77</v>
      </c>
      <c r="H67" s="36" t="s">
        <v>141</v>
      </c>
      <c r="I67" s="39" t="s">
        <v>21</v>
      </c>
      <c r="J67" s="35" t="n">
        <v>45681</v>
      </c>
      <c r="K67" s="38" t="n">
        <v>0.5</v>
      </c>
      <c r="L67" s="40" t="n">
        <v>0.0104166666666667</v>
      </c>
      <c r="M67" s="41" t="s">
        <v>188</v>
      </c>
      <c r="N67" s="42"/>
      <c r="O67" s="36"/>
    </row>
    <row r="68" customFormat="false" ht="15.75" hidden="false" customHeight="false" outlineLevel="0" collapsed="false">
      <c r="A68" s="35" t="n">
        <v>45683</v>
      </c>
      <c r="B68" s="7" t="n">
        <v>2</v>
      </c>
      <c r="C68" s="36" t="s">
        <v>189</v>
      </c>
      <c r="D68" s="36" t="s">
        <v>85</v>
      </c>
      <c r="E68" s="36" t="s">
        <v>17</v>
      </c>
      <c r="F68" s="37" t="s">
        <v>190</v>
      </c>
      <c r="G68" s="38" t="s">
        <v>19</v>
      </c>
      <c r="H68" s="36" t="s">
        <v>95</v>
      </c>
      <c r="I68" s="39" t="s">
        <v>21</v>
      </c>
      <c r="J68" s="35" t="n">
        <v>45691</v>
      </c>
      <c r="K68" s="38" t="n">
        <v>5</v>
      </c>
      <c r="L68" s="40" t="n">
        <v>0.719444444444444</v>
      </c>
      <c r="M68" s="41" t="s">
        <v>191</v>
      </c>
      <c r="N68" s="42"/>
      <c r="O68" s="36"/>
    </row>
    <row r="69" customFormat="false" ht="15.75" hidden="false" customHeight="false" outlineLevel="0" collapsed="false">
      <c r="A69" s="35" t="n">
        <v>45684</v>
      </c>
      <c r="B69" s="7" t="n">
        <v>2</v>
      </c>
      <c r="C69" s="36" t="s">
        <v>101</v>
      </c>
      <c r="D69" s="36" t="s">
        <v>16</v>
      </c>
      <c r="E69" s="36" t="s">
        <v>17</v>
      </c>
      <c r="F69" s="37" t="s">
        <v>192</v>
      </c>
      <c r="G69" s="38" t="s">
        <v>77</v>
      </c>
      <c r="H69" s="36" t="s">
        <v>20</v>
      </c>
      <c r="I69" s="39" t="s">
        <v>21</v>
      </c>
      <c r="J69" s="35" t="n">
        <v>45685</v>
      </c>
      <c r="K69" s="38" t="n">
        <v>1</v>
      </c>
      <c r="L69" s="40" t="n">
        <v>0.0333333333333333</v>
      </c>
      <c r="M69" s="41" t="s">
        <v>193</v>
      </c>
      <c r="N69" s="42"/>
      <c r="O69" s="36"/>
    </row>
    <row r="70" customFormat="false" ht="15.75" hidden="false" customHeight="false" outlineLevel="0" collapsed="false">
      <c r="A70" s="35" t="n">
        <v>45684</v>
      </c>
      <c r="B70" s="7" t="n">
        <v>2</v>
      </c>
      <c r="C70" s="36" t="s">
        <v>101</v>
      </c>
      <c r="D70" s="36" t="s">
        <v>130</v>
      </c>
      <c r="E70" s="36" t="s">
        <v>17</v>
      </c>
      <c r="F70" s="37" t="s">
        <v>194</v>
      </c>
      <c r="G70" s="38" t="s">
        <v>48</v>
      </c>
      <c r="H70" s="36" t="s">
        <v>70</v>
      </c>
      <c r="I70" s="39" t="s">
        <v>21</v>
      </c>
      <c r="J70" s="35" t="n">
        <v>45684</v>
      </c>
      <c r="K70" s="38" t="n">
        <v>1</v>
      </c>
      <c r="L70" s="40" t="n">
        <v>0.0208333333333333</v>
      </c>
      <c r="M70" s="41" t="s">
        <v>195</v>
      </c>
      <c r="N70" s="42"/>
      <c r="O70" s="36"/>
    </row>
    <row r="71" customFormat="false" ht="15.75" hidden="false" customHeight="false" outlineLevel="0" collapsed="false">
      <c r="A71" s="35" t="n">
        <v>45685</v>
      </c>
      <c r="B71" s="7" t="n">
        <v>2</v>
      </c>
      <c r="C71" s="36" t="s">
        <v>41</v>
      </c>
      <c r="D71" s="36" t="s">
        <v>196</v>
      </c>
      <c r="E71" s="36" t="s">
        <v>17</v>
      </c>
      <c r="F71" s="37" t="s">
        <v>197</v>
      </c>
      <c r="G71" s="38" t="s">
        <v>19</v>
      </c>
      <c r="H71" s="36" t="s">
        <v>53</v>
      </c>
      <c r="I71" s="39" t="s">
        <v>21</v>
      </c>
      <c r="J71" s="35" t="n">
        <v>45686</v>
      </c>
      <c r="K71" s="38" t="n">
        <v>2</v>
      </c>
      <c r="L71" s="40" t="n">
        <v>0.0381944444444445</v>
      </c>
      <c r="M71" s="41" t="s">
        <v>198</v>
      </c>
      <c r="N71" s="42"/>
      <c r="O71" s="36"/>
    </row>
    <row r="72" customFormat="false" ht="15.75" hidden="false" customHeight="false" outlineLevel="0" collapsed="false">
      <c r="A72" s="35" t="n">
        <v>45685</v>
      </c>
      <c r="B72" s="7" t="n">
        <v>2</v>
      </c>
      <c r="C72" s="36" t="s">
        <v>41</v>
      </c>
      <c r="D72" s="36" t="s">
        <v>130</v>
      </c>
      <c r="E72" s="36" t="s">
        <v>17</v>
      </c>
      <c r="F72" s="37" t="s">
        <v>199</v>
      </c>
      <c r="G72" s="38" t="s">
        <v>19</v>
      </c>
      <c r="H72" s="36" t="s">
        <v>87</v>
      </c>
      <c r="I72" s="39" t="s">
        <v>21</v>
      </c>
      <c r="J72" s="35" t="n">
        <v>45685</v>
      </c>
      <c r="K72" s="38" t="n">
        <v>6</v>
      </c>
      <c r="L72" s="40" t="n">
        <v>0.260416666666667</v>
      </c>
      <c r="M72" s="41" t="s">
        <v>200</v>
      </c>
      <c r="N72" s="42"/>
      <c r="O72" s="36"/>
    </row>
    <row r="73" customFormat="false" ht="15.75" hidden="false" customHeight="false" outlineLevel="0" collapsed="false">
      <c r="A73" s="35" t="n">
        <v>45685</v>
      </c>
      <c r="B73" s="7" t="n">
        <v>2</v>
      </c>
      <c r="C73" s="36" t="s">
        <v>41</v>
      </c>
      <c r="D73" s="36" t="s">
        <v>16</v>
      </c>
      <c r="E73" s="36" t="s">
        <v>17</v>
      </c>
      <c r="F73" s="37" t="s">
        <v>201</v>
      </c>
      <c r="G73" s="38" t="s">
        <v>77</v>
      </c>
      <c r="H73" s="36" t="s">
        <v>24</v>
      </c>
      <c r="I73" s="39" t="s">
        <v>21</v>
      </c>
      <c r="J73" s="35" t="s">
        <v>202</v>
      </c>
      <c r="K73" s="38" t="n">
        <v>0</v>
      </c>
      <c r="L73" s="36" t="n">
        <v>0</v>
      </c>
      <c r="M73" s="41" t="s">
        <v>203</v>
      </c>
      <c r="N73" s="42"/>
      <c r="O73" s="36"/>
    </row>
    <row r="74" customFormat="false" ht="15.75" hidden="false" customHeight="false" outlineLevel="0" collapsed="false">
      <c r="A74" s="35" t="n">
        <v>45685</v>
      </c>
      <c r="B74" s="7" t="n">
        <v>2</v>
      </c>
      <c r="C74" s="36" t="s">
        <v>41</v>
      </c>
      <c r="D74" s="36" t="s">
        <v>126</v>
      </c>
      <c r="E74" s="36" t="s">
        <v>17</v>
      </c>
      <c r="F74" s="37" t="s">
        <v>204</v>
      </c>
      <c r="G74" s="38" t="s">
        <v>19</v>
      </c>
      <c r="H74" s="36" t="s">
        <v>53</v>
      </c>
      <c r="I74" s="39" t="s">
        <v>21</v>
      </c>
      <c r="J74" s="35" t="n">
        <v>45686</v>
      </c>
      <c r="K74" s="38" t="n">
        <v>2</v>
      </c>
      <c r="L74" s="40" t="n">
        <v>0.223611111111111</v>
      </c>
      <c r="M74" s="41" t="s">
        <v>205</v>
      </c>
      <c r="N74" s="42"/>
      <c r="O74" s="36"/>
    </row>
    <row r="75" customFormat="false" ht="15.75" hidden="false" customHeight="false" outlineLevel="0" collapsed="false">
      <c r="A75" s="35" t="n">
        <v>45686</v>
      </c>
      <c r="B75" s="7" t="n">
        <v>2</v>
      </c>
      <c r="C75" s="36" t="s">
        <v>60</v>
      </c>
      <c r="D75" s="36" t="s">
        <v>16</v>
      </c>
      <c r="E75" s="36" t="s">
        <v>17</v>
      </c>
      <c r="F75" s="37" t="s">
        <v>206</v>
      </c>
      <c r="G75" s="38" t="s">
        <v>77</v>
      </c>
      <c r="H75" s="36" t="s">
        <v>70</v>
      </c>
      <c r="I75" s="39" t="s">
        <v>21</v>
      </c>
      <c r="J75" s="35" t="n">
        <v>45686</v>
      </c>
      <c r="K75" s="38" t="n">
        <v>2</v>
      </c>
      <c r="L75" s="40" t="n">
        <v>0.0423611111111111</v>
      </c>
      <c r="M75" s="41" t="s">
        <v>207</v>
      </c>
      <c r="N75" s="42"/>
      <c r="O75" s="36"/>
    </row>
    <row r="76" customFormat="false" ht="15.75" hidden="false" customHeight="false" outlineLevel="0" collapsed="false">
      <c r="A76" s="35" t="n">
        <v>45686</v>
      </c>
      <c r="B76" s="7" t="n">
        <v>2</v>
      </c>
      <c r="C76" s="36" t="s">
        <v>60</v>
      </c>
      <c r="D76" s="36" t="s">
        <v>16</v>
      </c>
      <c r="E76" s="36" t="s">
        <v>17</v>
      </c>
      <c r="F76" s="37" t="s">
        <v>208</v>
      </c>
      <c r="G76" s="38" t="s">
        <v>77</v>
      </c>
      <c r="H76" s="36" t="s">
        <v>70</v>
      </c>
      <c r="I76" s="39" t="s">
        <v>21</v>
      </c>
      <c r="J76" s="35" t="n">
        <v>45686</v>
      </c>
      <c r="K76" s="38" t="n">
        <v>1</v>
      </c>
      <c r="L76" s="40" t="n">
        <v>0.00486111111111111</v>
      </c>
      <c r="M76" s="41" t="s">
        <v>209</v>
      </c>
      <c r="N76" s="42"/>
      <c r="O76" s="36"/>
    </row>
    <row r="77" customFormat="false" ht="15.75" hidden="false" customHeight="false" outlineLevel="0" collapsed="false">
      <c r="A77" s="35" t="n">
        <v>45687</v>
      </c>
      <c r="B77" s="7" t="n">
        <v>2</v>
      </c>
      <c r="C77" s="36" t="s">
        <v>15</v>
      </c>
      <c r="D77" s="36" t="s">
        <v>16</v>
      </c>
      <c r="E77" s="36" t="s">
        <v>17</v>
      </c>
      <c r="F77" s="37" t="s">
        <v>210</v>
      </c>
      <c r="G77" s="38" t="s">
        <v>77</v>
      </c>
      <c r="H77" s="36" t="s">
        <v>70</v>
      </c>
      <c r="I77" s="39" t="s">
        <v>21</v>
      </c>
      <c r="J77" s="35" t="n">
        <v>45687</v>
      </c>
      <c r="K77" s="38" t="n">
        <v>2</v>
      </c>
      <c r="L77" s="40" t="n">
        <v>0.0284722222222222</v>
      </c>
      <c r="M77" s="41" t="s">
        <v>211</v>
      </c>
      <c r="N77" s="42"/>
      <c r="O77" s="36"/>
    </row>
    <row r="78" customFormat="false" ht="15.75" hidden="false" customHeight="false" outlineLevel="0" collapsed="false">
      <c r="A78" s="35" t="n">
        <v>45687</v>
      </c>
      <c r="B78" s="7" t="n">
        <v>2</v>
      </c>
      <c r="C78" s="36" t="s">
        <v>15</v>
      </c>
      <c r="D78" s="36" t="s">
        <v>85</v>
      </c>
      <c r="E78" s="36" t="s">
        <v>17</v>
      </c>
      <c r="F78" s="37" t="s">
        <v>212</v>
      </c>
      <c r="G78" s="38" t="s">
        <v>77</v>
      </c>
      <c r="H78" s="36" t="s">
        <v>87</v>
      </c>
      <c r="I78" s="39" t="s">
        <v>21</v>
      </c>
      <c r="J78" s="35" t="n">
        <v>45688</v>
      </c>
      <c r="K78" s="38" t="n">
        <v>3</v>
      </c>
      <c r="L78" s="40" t="n">
        <v>0.103472222222222</v>
      </c>
      <c r="M78" s="41" t="s">
        <v>213</v>
      </c>
      <c r="N78" s="42"/>
      <c r="O78" s="36"/>
    </row>
    <row r="79" customFormat="false" ht="15.75" hidden="false" customHeight="false" outlineLevel="0" collapsed="false">
      <c r="A79" s="35" t="n">
        <v>45687</v>
      </c>
      <c r="B79" s="7" t="n">
        <v>2</v>
      </c>
      <c r="C79" s="36" t="s">
        <v>15</v>
      </c>
      <c r="D79" s="36" t="s">
        <v>16</v>
      </c>
      <c r="E79" s="36" t="s">
        <v>17</v>
      </c>
      <c r="F79" s="37" t="s">
        <v>214</v>
      </c>
      <c r="G79" s="38" t="s">
        <v>77</v>
      </c>
      <c r="H79" s="36" t="s">
        <v>24</v>
      </c>
      <c r="I79" s="39" t="s">
        <v>21</v>
      </c>
      <c r="J79" s="35" t="n">
        <v>45688</v>
      </c>
      <c r="K79" s="38" t="n">
        <v>0</v>
      </c>
      <c r="L79" s="36" t="n">
        <v>0</v>
      </c>
      <c r="M79" s="41" t="s">
        <v>215</v>
      </c>
      <c r="N79" s="42"/>
      <c r="O79" s="36"/>
    </row>
    <row r="80" customFormat="false" ht="15.75" hidden="false" customHeight="false" outlineLevel="0" collapsed="false">
      <c r="A80" s="35" t="n">
        <v>45687</v>
      </c>
      <c r="B80" s="7" t="n">
        <v>2</v>
      </c>
      <c r="C80" s="36" t="s">
        <v>15</v>
      </c>
      <c r="D80" s="36" t="s">
        <v>16</v>
      </c>
      <c r="E80" s="36" t="s">
        <v>17</v>
      </c>
      <c r="F80" s="37" t="s">
        <v>216</v>
      </c>
      <c r="G80" s="38" t="s">
        <v>77</v>
      </c>
      <c r="H80" s="36" t="s">
        <v>20</v>
      </c>
      <c r="I80" s="39" t="s">
        <v>21</v>
      </c>
      <c r="J80" s="35" t="n">
        <v>45688</v>
      </c>
      <c r="K80" s="38" t="n">
        <v>0.5</v>
      </c>
      <c r="L80" s="40" t="n">
        <v>0.00833333333333333</v>
      </c>
      <c r="M80" s="41" t="s">
        <v>217</v>
      </c>
      <c r="N80" s="42"/>
      <c r="O80" s="36"/>
    </row>
    <row r="81" customFormat="false" ht="15.75" hidden="false" customHeight="false" outlineLevel="0" collapsed="false">
      <c r="A81" s="35" t="n">
        <v>45688</v>
      </c>
      <c r="B81" s="7" t="n">
        <v>2</v>
      </c>
      <c r="C81" s="36" t="s">
        <v>36</v>
      </c>
      <c r="D81" s="36" t="s">
        <v>85</v>
      </c>
      <c r="E81" s="36" t="s">
        <v>17</v>
      </c>
      <c r="F81" s="37" t="s">
        <v>218</v>
      </c>
      <c r="G81" s="38" t="s">
        <v>19</v>
      </c>
      <c r="H81" s="36" t="s">
        <v>87</v>
      </c>
      <c r="I81" s="39" t="s">
        <v>21</v>
      </c>
      <c r="J81" s="35" t="n">
        <v>45693</v>
      </c>
      <c r="K81" s="38" t="n">
        <v>3</v>
      </c>
      <c r="L81" s="40" t="n">
        <v>0.589583333333333</v>
      </c>
      <c r="M81" s="41" t="s">
        <v>219</v>
      </c>
      <c r="N81" s="42"/>
      <c r="O81" s="36"/>
    </row>
    <row r="82" customFormat="false" ht="15.75" hidden="false" customHeight="false" outlineLevel="0" collapsed="false">
      <c r="A82" s="35" t="n">
        <v>45688</v>
      </c>
      <c r="B82" s="7" t="n">
        <v>2</v>
      </c>
      <c r="C82" s="36" t="s">
        <v>36</v>
      </c>
      <c r="D82" s="36" t="s">
        <v>16</v>
      </c>
      <c r="E82" s="36" t="s">
        <v>17</v>
      </c>
      <c r="F82" s="37" t="s">
        <v>220</v>
      </c>
      <c r="G82" s="38" t="s">
        <v>77</v>
      </c>
      <c r="H82" s="36" t="s">
        <v>20</v>
      </c>
      <c r="I82" s="39" t="s">
        <v>21</v>
      </c>
      <c r="J82" s="35" t="n">
        <v>45688</v>
      </c>
      <c r="K82" s="38" t="n">
        <v>6</v>
      </c>
      <c r="L82" s="40" t="n">
        <v>0.0173611111111111</v>
      </c>
      <c r="M82" s="41" t="s">
        <v>221</v>
      </c>
      <c r="N82" s="42"/>
      <c r="O82" s="36"/>
    </row>
    <row r="83" customFormat="false" ht="15.75" hidden="false" customHeight="false" outlineLevel="0" collapsed="false">
      <c r="A83" s="44"/>
      <c r="B83" s="45"/>
      <c r="C83" s="44"/>
      <c r="D83" s="44"/>
      <c r="E83" s="44"/>
      <c r="F83" s="44"/>
      <c r="G83" s="46"/>
      <c r="H83" s="46"/>
      <c r="I83" s="47"/>
      <c r="J83" s="44"/>
      <c r="K83" s="46"/>
      <c r="L83" s="46"/>
      <c r="M83" s="44"/>
      <c r="N83" s="48"/>
      <c r="O83" s="44"/>
    </row>
    <row r="84" customFormat="false" ht="15.75" hidden="false" customHeight="false" outlineLevel="0" collapsed="false">
      <c r="B84" s="49"/>
      <c r="G84" s="46"/>
      <c r="H84" s="46"/>
      <c r="L84" s="46"/>
      <c r="N84" s="48"/>
    </row>
    <row r="85" customFormat="false" ht="15.75" hidden="false" customHeight="false" outlineLevel="0" collapsed="false">
      <c r="B85" s="49"/>
      <c r="G85" s="46"/>
      <c r="H85" s="46"/>
      <c r="L85" s="46"/>
      <c r="N85" s="48"/>
    </row>
    <row r="86" customFormat="false" ht="15.75" hidden="false" customHeight="false" outlineLevel="0" collapsed="false">
      <c r="B86" s="49"/>
      <c r="G86" s="46"/>
      <c r="H86" s="46"/>
      <c r="L86" s="46"/>
      <c r="N86" s="48"/>
    </row>
    <row r="87" customFormat="false" ht="15.75" hidden="false" customHeight="false" outlineLevel="0" collapsed="false">
      <c r="B87" s="49"/>
      <c r="G87" s="46"/>
      <c r="H87" s="46"/>
      <c r="L87" s="46"/>
      <c r="N87" s="48"/>
    </row>
    <row r="88" customFormat="false" ht="15.75" hidden="false" customHeight="false" outlineLevel="0" collapsed="false">
      <c r="B88" s="49"/>
      <c r="G88" s="46"/>
      <c r="H88" s="46"/>
      <c r="L88" s="46"/>
      <c r="N88" s="48"/>
    </row>
    <row r="89" customFormat="false" ht="15.75" hidden="false" customHeight="false" outlineLevel="0" collapsed="false">
      <c r="B89" s="49"/>
      <c r="G89" s="46"/>
      <c r="H89" s="46"/>
      <c r="L89" s="46"/>
      <c r="N89" s="48"/>
    </row>
    <row r="90" customFormat="false" ht="15.75" hidden="false" customHeight="false" outlineLevel="0" collapsed="false">
      <c r="B90" s="49"/>
      <c r="G90" s="46"/>
      <c r="H90" s="46"/>
      <c r="L90" s="46"/>
      <c r="N90" s="48"/>
    </row>
    <row r="91" customFormat="false" ht="15.75" hidden="false" customHeight="false" outlineLevel="0" collapsed="false">
      <c r="G91" s="46"/>
      <c r="H91" s="46"/>
      <c r="L91" s="46"/>
      <c r="N91" s="48"/>
    </row>
    <row r="92" customFormat="false" ht="15.75" hidden="false" customHeight="false" outlineLevel="0" collapsed="false">
      <c r="G92" s="46"/>
      <c r="H92" s="46"/>
      <c r="L92" s="46"/>
      <c r="N92" s="48"/>
    </row>
    <row r="93" customFormat="false" ht="15.75" hidden="false" customHeight="false" outlineLevel="0" collapsed="false">
      <c r="G93" s="46"/>
      <c r="H93" s="46"/>
      <c r="L93" s="46"/>
      <c r="N93" s="48"/>
    </row>
    <row r="94" customFormat="false" ht="15.75" hidden="false" customHeight="false" outlineLevel="0" collapsed="false">
      <c r="G94" s="46"/>
      <c r="H94" s="46"/>
      <c r="L94" s="46"/>
      <c r="N94" s="48"/>
    </row>
    <row r="95" customFormat="false" ht="15.75" hidden="false" customHeight="false" outlineLevel="0" collapsed="false">
      <c r="G95" s="46"/>
      <c r="H95" s="46"/>
      <c r="L95" s="46"/>
      <c r="N95" s="48"/>
    </row>
    <row r="96" customFormat="false" ht="15.75" hidden="false" customHeight="false" outlineLevel="0" collapsed="false">
      <c r="G96" s="46"/>
      <c r="H96" s="46"/>
      <c r="L96" s="46"/>
      <c r="N96" s="48"/>
    </row>
    <row r="97" customFormat="false" ht="15.75" hidden="false" customHeight="false" outlineLevel="0" collapsed="false">
      <c r="G97" s="46"/>
      <c r="H97" s="46"/>
      <c r="L97" s="46"/>
      <c r="N97" s="48"/>
    </row>
    <row r="98" customFormat="false" ht="15.75" hidden="false" customHeight="false" outlineLevel="0" collapsed="false">
      <c r="G98" s="46"/>
      <c r="H98" s="46"/>
      <c r="L98" s="46"/>
      <c r="N98" s="48"/>
    </row>
    <row r="99" customFormat="false" ht="15.75" hidden="false" customHeight="false" outlineLevel="0" collapsed="false">
      <c r="G99" s="46"/>
      <c r="H99" s="46"/>
      <c r="L99" s="46"/>
      <c r="N99" s="48"/>
    </row>
    <row r="100" customFormat="false" ht="15.75" hidden="false" customHeight="false" outlineLevel="0" collapsed="false">
      <c r="G100" s="46"/>
      <c r="H100" s="46"/>
      <c r="L100" s="46"/>
      <c r="N100" s="48"/>
    </row>
    <row r="101" customFormat="false" ht="15.75" hidden="false" customHeight="false" outlineLevel="0" collapsed="false">
      <c r="G101" s="46"/>
      <c r="H101" s="46"/>
      <c r="L101" s="46"/>
      <c r="N101" s="48"/>
    </row>
    <row r="102" customFormat="false" ht="15.75" hidden="false" customHeight="false" outlineLevel="0" collapsed="false">
      <c r="G102" s="46"/>
      <c r="H102" s="46"/>
      <c r="L102" s="46"/>
      <c r="N102" s="48"/>
    </row>
    <row r="103" customFormat="false" ht="15.75" hidden="false" customHeight="false" outlineLevel="0" collapsed="false">
      <c r="G103" s="46"/>
      <c r="H103" s="46"/>
      <c r="L103" s="46"/>
      <c r="N103" s="48"/>
    </row>
    <row r="104" customFormat="false" ht="15.75" hidden="false" customHeight="false" outlineLevel="0" collapsed="false">
      <c r="G104" s="46"/>
      <c r="H104" s="46"/>
      <c r="L104" s="46"/>
      <c r="N104" s="48"/>
    </row>
    <row r="105" customFormat="false" ht="15.75" hidden="false" customHeight="false" outlineLevel="0" collapsed="false">
      <c r="G105" s="46"/>
      <c r="H105" s="46"/>
      <c r="L105" s="46"/>
      <c r="N105" s="48"/>
    </row>
    <row r="106" customFormat="false" ht="15.75" hidden="false" customHeight="false" outlineLevel="0" collapsed="false">
      <c r="G106" s="46"/>
      <c r="H106" s="46"/>
      <c r="L106" s="46"/>
      <c r="N106" s="48"/>
    </row>
    <row r="107" customFormat="false" ht="15.75" hidden="false" customHeight="false" outlineLevel="0" collapsed="false">
      <c r="G107" s="46"/>
      <c r="H107" s="46"/>
      <c r="L107" s="46"/>
      <c r="N107" s="48"/>
    </row>
    <row r="108" customFormat="false" ht="15.75" hidden="false" customHeight="false" outlineLevel="0" collapsed="false">
      <c r="G108" s="46"/>
      <c r="H108" s="46"/>
      <c r="L108" s="46"/>
      <c r="N108" s="48"/>
    </row>
    <row r="109" customFormat="false" ht="15.75" hidden="false" customHeight="false" outlineLevel="0" collapsed="false">
      <c r="G109" s="46"/>
      <c r="H109" s="46"/>
      <c r="L109" s="46"/>
      <c r="N109" s="48"/>
    </row>
    <row r="110" customFormat="false" ht="15.75" hidden="false" customHeight="false" outlineLevel="0" collapsed="false">
      <c r="G110" s="46"/>
      <c r="H110" s="46"/>
      <c r="L110" s="46"/>
      <c r="N110" s="48"/>
    </row>
    <row r="111" customFormat="false" ht="15.75" hidden="false" customHeight="false" outlineLevel="0" collapsed="false">
      <c r="G111" s="46"/>
      <c r="H111" s="46"/>
      <c r="L111" s="46"/>
      <c r="N111" s="48"/>
    </row>
    <row r="112" customFormat="false" ht="15.75" hidden="false" customHeight="false" outlineLevel="0" collapsed="false">
      <c r="G112" s="46"/>
      <c r="H112" s="46"/>
      <c r="L112" s="46"/>
      <c r="N112" s="48"/>
    </row>
    <row r="113" customFormat="false" ht="15.75" hidden="false" customHeight="false" outlineLevel="0" collapsed="false">
      <c r="G113" s="46"/>
      <c r="H113" s="46"/>
      <c r="L113" s="46"/>
      <c r="N113" s="48"/>
    </row>
    <row r="114" customFormat="false" ht="15.75" hidden="false" customHeight="false" outlineLevel="0" collapsed="false">
      <c r="G114" s="46"/>
      <c r="H114" s="46"/>
      <c r="L114" s="46"/>
      <c r="N114" s="48"/>
    </row>
    <row r="115" customFormat="false" ht="15.75" hidden="false" customHeight="false" outlineLevel="0" collapsed="false">
      <c r="G115" s="46"/>
      <c r="H115" s="46"/>
      <c r="L115" s="46"/>
      <c r="N115" s="48"/>
    </row>
    <row r="116" customFormat="false" ht="15.75" hidden="false" customHeight="false" outlineLevel="0" collapsed="false">
      <c r="G116" s="46"/>
      <c r="H116" s="46"/>
      <c r="L116" s="46"/>
      <c r="N116" s="48"/>
    </row>
    <row r="117" customFormat="false" ht="15.75" hidden="false" customHeight="false" outlineLevel="0" collapsed="false">
      <c r="G117" s="46"/>
      <c r="H117" s="46"/>
      <c r="L117" s="46"/>
      <c r="N117" s="48"/>
    </row>
    <row r="118" customFormat="false" ht="15.75" hidden="false" customHeight="false" outlineLevel="0" collapsed="false">
      <c r="G118" s="46"/>
      <c r="H118" s="46"/>
      <c r="L118" s="46"/>
      <c r="N118" s="48"/>
    </row>
    <row r="119" customFormat="false" ht="15.75" hidden="false" customHeight="false" outlineLevel="0" collapsed="false">
      <c r="G119" s="46"/>
      <c r="H119" s="46"/>
      <c r="L119" s="46"/>
      <c r="N119" s="48"/>
    </row>
    <row r="120" customFormat="false" ht="15.75" hidden="false" customHeight="false" outlineLevel="0" collapsed="false">
      <c r="G120" s="46"/>
      <c r="H120" s="46"/>
      <c r="L120" s="46"/>
      <c r="N120" s="48"/>
    </row>
    <row r="121" customFormat="false" ht="15.75" hidden="false" customHeight="false" outlineLevel="0" collapsed="false">
      <c r="G121" s="46"/>
      <c r="H121" s="46"/>
      <c r="L121" s="46"/>
      <c r="N121" s="48"/>
    </row>
    <row r="122" customFormat="false" ht="15.75" hidden="false" customHeight="false" outlineLevel="0" collapsed="false">
      <c r="G122" s="46"/>
      <c r="H122" s="46"/>
      <c r="L122" s="46"/>
      <c r="N122" s="48"/>
    </row>
    <row r="123" customFormat="false" ht="15.75" hidden="false" customHeight="false" outlineLevel="0" collapsed="false">
      <c r="G123" s="46"/>
      <c r="H123" s="46"/>
      <c r="L123" s="46"/>
      <c r="N123" s="48"/>
    </row>
    <row r="124" customFormat="false" ht="15.75" hidden="false" customHeight="false" outlineLevel="0" collapsed="false">
      <c r="G124" s="46"/>
      <c r="H124" s="46"/>
      <c r="L124" s="46"/>
      <c r="N124" s="48"/>
    </row>
    <row r="125" customFormat="false" ht="15.75" hidden="false" customHeight="false" outlineLevel="0" collapsed="false">
      <c r="G125" s="46"/>
      <c r="H125" s="46"/>
      <c r="L125" s="46"/>
      <c r="N125" s="48"/>
    </row>
    <row r="126" customFormat="false" ht="15.75" hidden="false" customHeight="false" outlineLevel="0" collapsed="false">
      <c r="G126" s="46"/>
      <c r="H126" s="46"/>
      <c r="L126" s="46"/>
      <c r="N126" s="48"/>
    </row>
    <row r="127" customFormat="false" ht="15.75" hidden="false" customHeight="false" outlineLevel="0" collapsed="false">
      <c r="G127" s="46"/>
      <c r="H127" s="46"/>
      <c r="L127" s="46"/>
      <c r="N127" s="48"/>
    </row>
    <row r="128" customFormat="false" ht="15.75" hidden="false" customHeight="false" outlineLevel="0" collapsed="false">
      <c r="G128" s="46"/>
      <c r="H128" s="46"/>
      <c r="L128" s="46"/>
      <c r="N128" s="48"/>
    </row>
    <row r="129" customFormat="false" ht="15.75" hidden="false" customHeight="false" outlineLevel="0" collapsed="false">
      <c r="G129" s="46"/>
      <c r="H129" s="46"/>
      <c r="L129" s="46"/>
      <c r="N129" s="48"/>
    </row>
    <row r="130" customFormat="false" ht="15.75" hidden="false" customHeight="false" outlineLevel="0" collapsed="false">
      <c r="G130" s="46"/>
      <c r="H130" s="46"/>
      <c r="L130" s="46"/>
      <c r="N130" s="48"/>
    </row>
    <row r="131" customFormat="false" ht="15.75" hidden="false" customHeight="false" outlineLevel="0" collapsed="false">
      <c r="G131" s="46"/>
      <c r="H131" s="46"/>
      <c r="L131" s="46"/>
      <c r="N131" s="48"/>
    </row>
    <row r="132" customFormat="false" ht="15.75" hidden="false" customHeight="false" outlineLevel="0" collapsed="false">
      <c r="G132" s="46"/>
      <c r="H132" s="46"/>
      <c r="L132" s="46"/>
      <c r="N132" s="48"/>
    </row>
    <row r="133" customFormat="false" ht="15.75" hidden="false" customHeight="false" outlineLevel="0" collapsed="false">
      <c r="G133" s="46"/>
      <c r="H133" s="46"/>
      <c r="L133" s="46"/>
      <c r="N133" s="48"/>
    </row>
    <row r="134" customFormat="false" ht="15.75" hidden="false" customHeight="false" outlineLevel="0" collapsed="false">
      <c r="G134" s="46"/>
      <c r="H134" s="46"/>
      <c r="L134" s="46"/>
      <c r="N134" s="48"/>
    </row>
    <row r="135" customFormat="false" ht="15.75" hidden="false" customHeight="false" outlineLevel="0" collapsed="false">
      <c r="G135" s="46"/>
      <c r="H135" s="46"/>
      <c r="L135" s="46"/>
      <c r="N135" s="48"/>
    </row>
    <row r="136" customFormat="false" ht="15.75" hidden="false" customHeight="false" outlineLevel="0" collapsed="false">
      <c r="G136" s="46"/>
      <c r="H136" s="46"/>
      <c r="L136" s="46"/>
      <c r="N136" s="48"/>
    </row>
    <row r="137" customFormat="false" ht="15.75" hidden="false" customHeight="false" outlineLevel="0" collapsed="false">
      <c r="G137" s="46"/>
      <c r="H137" s="46"/>
      <c r="L137" s="46"/>
      <c r="N137" s="48"/>
    </row>
    <row r="138" customFormat="false" ht="15.75" hidden="false" customHeight="false" outlineLevel="0" collapsed="false">
      <c r="G138" s="46"/>
      <c r="H138" s="46"/>
      <c r="L138" s="46"/>
      <c r="N138" s="48"/>
    </row>
    <row r="139" customFormat="false" ht="15.75" hidden="false" customHeight="false" outlineLevel="0" collapsed="false">
      <c r="G139" s="46"/>
      <c r="H139" s="46"/>
      <c r="L139" s="46"/>
      <c r="N139" s="48"/>
    </row>
    <row r="140" customFormat="false" ht="15.75" hidden="false" customHeight="false" outlineLevel="0" collapsed="false">
      <c r="G140" s="46"/>
      <c r="H140" s="46"/>
      <c r="L140" s="46"/>
      <c r="N140" s="48"/>
    </row>
    <row r="141" customFormat="false" ht="15.75" hidden="false" customHeight="false" outlineLevel="0" collapsed="false">
      <c r="G141" s="46"/>
      <c r="H141" s="46"/>
      <c r="L141" s="46"/>
      <c r="N141" s="48"/>
    </row>
    <row r="142" customFormat="false" ht="15.75" hidden="false" customHeight="false" outlineLevel="0" collapsed="false">
      <c r="G142" s="46"/>
      <c r="H142" s="46"/>
      <c r="L142" s="46"/>
      <c r="N142" s="48"/>
    </row>
    <row r="143" customFormat="false" ht="15.75" hidden="false" customHeight="false" outlineLevel="0" collapsed="false">
      <c r="G143" s="46"/>
      <c r="H143" s="46"/>
      <c r="L143" s="46"/>
      <c r="N143" s="48"/>
    </row>
    <row r="144" customFormat="false" ht="15.75" hidden="false" customHeight="false" outlineLevel="0" collapsed="false">
      <c r="G144" s="46"/>
      <c r="H144" s="46"/>
      <c r="L144" s="46"/>
      <c r="N144" s="48"/>
    </row>
    <row r="145" customFormat="false" ht="15.75" hidden="false" customHeight="false" outlineLevel="0" collapsed="false">
      <c r="G145" s="46"/>
      <c r="H145" s="46"/>
      <c r="L145" s="46"/>
      <c r="N145" s="48"/>
    </row>
    <row r="146" customFormat="false" ht="15.75" hidden="false" customHeight="false" outlineLevel="0" collapsed="false">
      <c r="G146" s="46"/>
      <c r="H146" s="46"/>
      <c r="L146" s="46"/>
      <c r="N146" s="48"/>
    </row>
    <row r="147" customFormat="false" ht="15.75" hidden="false" customHeight="false" outlineLevel="0" collapsed="false">
      <c r="G147" s="46"/>
      <c r="H147" s="46"/>
      <c r="L147" s="46"/>
      <c r="N147" s="48"/>
    </row>
    <row r="148" customFormat="false" ht="15.75" hidden="false" customHeight="false" outlineLevel="0" collapsed="false">
      <c r="G148" s="46"/>
      <c r="H148" s="46"/>
      <c r="L148" s="46"/>
      <c r="N148" s="48"/>
    </row>
    <row r="149" customFormat="false" ht="15.75" hidden="false" customHeight="false" outlineLevel="0" collapsed="false">
      <c r="G149" s="46"/>
      <c r="H149" s="46"/>
      <c r="L149" s="46"/>
      <c r="N149" s="48"/>
    </row>
    <row r="150" customFormat="false" ht="15.75" hidden="false" customHeight="false" outlineLevel="0" collapsed="false">
      <c r="G150" s="46"/>
      <c r="H150" s="46"/>
      <c r="L150" s="46"/>
      <c r="N150" s="48"/>
    </row>
    <row r="151" customFormat="false" ht="15.75" hidden="false" customHeight="false" outlineLevel="0" collapsed="false">
      <c r="G151" s="46"/>
      <c r="H151" s="46"/>
      <c r="L151" s="46"/>
      <c r="N151" s="48"/>
    </row>
    <row r="152" customFormat="false" ht="15.75" hidden="false" customHeight="false" outlineLevel="0" collapsed="false">
      <c r="G152" s="46"/>
      <c r="H152" s="46"/>
      <c r="L152" s="46"/>
      <c r="N152" s="48"/>
    </row>
    <row r="153" customFormat="false" ht="15.75" hidden="false" customHeight="false" outlineLevel="0" collapsed="false">
      <c r="G153" s="46"/>
      <c r="H153" s="46"/>
      <c r="L153" s="46"/>
      <c r="N153" s="48"/>
    </row>
    <row r="154" customFormat="false" ht="15.75" hidden="false" customHeight="false" outlineLevel="0" collapsed="false">
      <c r="G154" s="46"/>
      <c r="H154" s="46"/>
      <c r="L154" s="46"/>
      <c r="N154" s="48"/>
    </row>
    <row r="155" customFormat="false" ht="15.75" hidden="false" customHeight="false" outlineLevel="0" collapsed="false">
      <c r="G155" s="46"/>
      <c r="H155" s="46"/>
      <c r="L155" s="46"/>
      <c r="N155" s="48"/>
    </row>
    <row r="156" customFormat="false" ht="15.75" hidden="false" customHeight="false" outlineLevel="0" collapsed="false">
      <c r="G156" s="46"/>
      <c r="H156" s="46"/>
      <c r="L156" s="46"/>
      <c r="N156" s="48"/>
    </row>
    <row r="157" customFormat="false" ht="15.75" hidden="false" customHeight="false" outlineLevel="0" collapsed="false">
      <c r="G157" s="46"/>
      <c r="H157" s="46"/>
      <c r="L157" s="46"/>
      <c r="N157" s="48"/>
    </row>
    <row r="158" customFormat="false" ht="15.75" hidden="false" customHeight="false" outlineLevel="0" collapsed="false">
      <c r="G158" s="46"/>
      <c r="H158" s="46"/>
      <c r="L158" s="46"/>
      <c r="N158" s="48"/>
    </row>
    <row r="159" customFormat="false" ht="15.75" hidden="false" customHeight="false" outlineLevel="0" collapsed="false">
      <c r="G159" s="46"/>
      <c r="H159" s="46"/>
      <c r="L159" s="46"/>
      <c r="N159" s="48"/>
    </row>
    <row r="160" customFormat="false" ht="15.75" hidden="false" customHeight="false" outlineLevel="0" collapsed="false">
      <c r="G160" s="46"/>
      <c r="H160" s="46"/>
      <c r="L160" s="46"/>
      <c r="N160" s="48"/>
    </row>
    <row r="161" customFormat="false" ht="15.75" hidden="false" customHeight="false" outlineLevel="0" collapsed="false">
      <c r="G161" s="46"/>
      <c r="H161" s="46"/>
      <c r="L161" s="46"/>
      <c r="N161" s="48"/>
    </row>
    <row r="162" customFormat="false" ht="15.75" hidden="false" customHeight="false" outlineLevel="0" collapsed="false">
      <c r="G162" s="46"/>
      <c r="H162" s="46"/>
      <c r="L162" s="46"/>
      <c r="N162" s="48"/>
    </row>
    <row r="163" customFormat="false" ht="15.75" hidden="false" customHeight="false" outlineLevel="0" collapsed="false">
      <c r="G163" s="46"/>
      <c r="H163" s="46"/>
      <c r="L163" s="46"/>
      <c r="N163" s="48"/>
    </row>
    <row r="164" customFormat="false" ht="15.75" hidden="false" customHeight="false" outlineLevel="0" collapsed="false">
      <c r="G164" s="46"/>
      <c r="H164" s="46"/>
      <c r="L164" s="46"/>
      <c r="N164" s="48"/>
    </row>
    <row r="165" customFormat="false" ht="15.75" hidden="false" customHeight="false" outlineLevel="0" collapsed="false">
      <c r="G165" s="46"/>
      <c r="H165" s="46"/>
      <c r="L165" s="46"/>
      <c r="N165" s="48"/>
    </row>
    <row r="166" customFormat="false" ht="15.75" hidden="false" customHeight="false" outlineLevel="0" collapsed="false">
      <c r="G166" s="46"/>
      <c r="H166" s="46"/>
      <c r="L166" s="46"/>
      <c r="N166" s="48"/>
    </row>
    <row r="167" customFormat="false" ht="15.75" hidden="false" customHeight="false" outlineLevel="0" collapsed="false">
      <c r="G167" s="46"/>
      <c r="H167" s="46"/>
      <c r="L167" s="46"/>
      <c r="N167" s="48"/>
    </row>
    <row r="168" customFormat="false" ht="15.75" hidden="false" customHeight="false" outlineLevel="0" collapsed="false">
      <c r="G168" s="46"/>
      <c r="H168" s="46"/>
      <c r="L168" s="46"/>
      <c r="N168" s="48"/>
    </row>
    <row r="169" customFormat="false" ht="15.75" hidden="false" customHeight="false" outlineLevel="0" collapsed="false">
      <c r="G169" s="46"/>
      <c r="H169" s="46"/>
      <c r="L169" s="46"/>
      <c r="N169" s="48"/>
    </row>
    <row r="170" customFormat="false" ht="15.75" hidden="false" customHeight="false" outlineLevel="0" collapsed="false">
      <c r="G170" s="46"/>
      <c r="H170" s="46"/>
      <c r="L170" s="46"/>
      <c r="N170" s="48"/>
    </row>
    <row r="171" customFormat="false" ht="15.75" hidden="false" customHeight="false" outlineLevel="0" collapsed="false">
      <c r="G171" s="46"/>
      <c r="H171" s="46"/>
      <c r="L171" s="46"/>
      <c r="N171" s="48"/>
    </row>
    <row r="172" customFormat="false" ht="15.75" hidden="false" customHeight="false" outlineLevel="0" collapsed="false">
      <c r="G172" s="46"/>
      <c r="H172" s="46"/>
      <c r="L172" s="46"/>
      <c r="N172" s="48"/>
    </row>
    <row r="173" customFormat="false" ht="15.75" hidden="false" customHeight="false" outlineLevel="0" collapsed="false">
      <c r="G173" s="46"/>
      <c r="H173" s="46"/>
      <c r="L173" s="46"/>
      <c r="N173" s="48"/>
    </row>
    <row r="174" customFormat="false" ht="15.75" hidden="false" customHeight="false" outlineLevel="0" collapsed="false">
      <c r="G174" s="46"/>
      <c r="H174" s="46"/>
      <c r="L174" s="46"/>
      <c r="N174" s="48"/>
    </row>
    <row r="175" customFormat="false" ht="15.75" hidden="false" customHeight="false" outlineLevel="0" collapsed="false">
      <c r="G175" s="46"/>
      <c r="H175" s="46"/>
      <c r="L175" s="46"/>
      <c r="N175" s="48"/>
    </row>
    <row r="176" customFormat="false" ht="15.75" hidden="false" customHeight="false" outlineLevel="0" collapsed="false">
      <c r="G176" s="46"/>
      <c r="H176" s="46"/>
      <c r="L176" s="46"/>
      <c r="N176" s="48"/>
    </row>
    <row r="177" customFormat="false" ht="15.75" hidden="false" customHeight="false" outlineLevel="0" collapsed="false">
      <c r="G177" s="46"/>
      <c r="H177" s="46"/>
      <c r="L177" s="46"/>
      <c r="N177" s="48"/>
    </row>
    <row r="178" customFormat="false" ht="15.75" hidden="false" customHeight="false" outlineLevel="0" collapsed="false">
      <c r="G178" s="46"/>
      <c r="H178" s="46"/>
      <c r="L178" s="46"/>
      <c r="N178" s="48"/>
    </row>
    <row r="179" customFormat="false" ht="15.75" hidden="false" customHeight="false" outlineLevel="0" collapsed="false">
      <c r="G179" s="46"/>
      <c r="H179" s="46"/>
      <c r="L179" s="46"/>
      <c r="N179" s="48"/>
    </row>
    <row r="180" customFormat="false" ht="15.75" hidden="false" customHeight="false" outlineLevel="0" collapsed="false">
      <c r="G180" s="46"/>
      <c r="H180" s="46"/>
      <c r="L180" s="46"/>
      <c r="N180" s="48"/>
    </row>
    <row r="181" customFormat="false" ht="15.75" hidden="false" customHeight="false" outlineLevel="0" collapsed="false">
      <c r="G181" s="46"/>
      <c r="H181" s="46"/>
      <c r="L181" s="46"/>
      <c r="N181" s="48"/>
    </row>
    <row r="182" customFormat="false" ht="15.75" hidden="false" customHeight="false" outlineLevel="0" collapsed="false">
      <c r="G182" s="46"/>
      <c r="H182" s="46"/>
      <c r="L182" s="46"/>
      <c r="N182" s="48"/>
    </row>
    <row r="183" customFormat="false" ht="15.75" hidden="false" customHeight="false" outlineLevel="0" collapsed="false">
      <c r="G183" s="46"/>
      <c r="H183" s="46"/>
      <c r="L183" s="46"/>
      <c r="N183" s="48"/>
    </row>
    <row r="184" customFormat="false" ht="15.75" hidden="false" customHeight="false" outlineLevel="0" collapsed="false">
      <c r="G184" s="46"/>
      <c r="H184" s="46"/>
      <c r="L184" s="46"/>
      <c r="N184" s="48"/>
    </row>
    <row r="185" customFormat="false" ht="15.75" hidden="false" customHeight="false" outlineLevel="0" collapsed="false">
      <c r="G185" s="46"/>
      <c r="H185" s="46"/>
      <c r="L185" s="46"/>
      <c r="N185" s="48"/>
    </row>
    <row r="186" customFormat="false" ht="15.75" hidden="false" customHeight="false" outlineLevel="0" collapsed="false">
      <c r="G186" s="46"/>
      <c r="H186" s="46"/>
      <c r="L186" s="46"/>
      <c r="N186" s="48"/>
    </row>
    <row r="187" customFormat="false" ht="15.75" hidden="false" customHeight="false" outlineLevel="0" collapsed="false">
      <c r="G187" s="46"/>
      <c r="H187" s="46"/>
      <c r="L187" s="46"/>
      <c r="N187" s="48"/>
    </row>
    <row r="188" customFormat="false" ht="15.75" hidden="false" customHeight="false" outlineLevel="0" collapsed="false">
      <c r="G188" s="46"/>
      <c r="H188" s="46"/>
      <c r="L188" s="46"/>
      <c r="N188" s="48"/>
    </row>
    <row r="189" customFormat="false" ht="15.75" hidden="false" customHeight="false" outlineLevel="0" collapsed="false">
      <c r="G189" s="46"/>
      <c r="H189" s="46"/>
      <c r="L189" s="46"/>
      <c r="N189" s="48"/>
    </row>
    <row r="190" customFormat="false" ht="15.75" hidden="false" customHeight="false" outlineLevel="0" collapsed="false">
      <c r="G190" s="46"/>
      <c r="H190" s="46"/>
      <c r="L190" s="46"/>
      <c r="N190" s="48"/>
    </row>
    <row r="191" customFormat="false" ht="15.75" hidden="false" customHeight="false" outlineLevel="0" collapsed="false">
      <c r="G191" s="46"/>
      <c r="H191" s="46"/>
      <c r="L191" s="46"/>
      <c r="N191" s="48"/>
    </row>
    <row r="192" customFormat="false" ht="15.75" hidden="false" customHeight="false" outlineLevel="0" collapsed="false">
      <c r="G192" s="46"/>
      <c r="H192" s="46"/>
      <c r="L192" s="46"/>
      <c r="N192" s="48"/>
    </row>
    <row r="193" customFormat="false" ht="15.75" hidden="false" customHeight="false" outlineLevel="0" collapsed="false">
      <c r="G193" s="46"/>
      <c r="H193" s="46"/>
      <c r="L193" s="46"/>
      <c r="N193" s="48"/>
    </row>
    <row r="194" customFormat="false" ht="15.75" hidden="false" customHeight="false" outlineLevel="0" collapsed="false">
      <c r="G194" s="46"/>
      <c r="H194" s="46"/>
      <c r="L194" s="46"/>
      <c r="N194" s="48"/>
    </row>
    <row r="195" customFormat="false" ht="15.75" hidden="false" customHeight="false" outlineLevel="0" collapsed="false">
      <c r="G195" s="46"/>
      <c r="H195" s="46"/>
      <c r="L195" s="46"/>
      <c r="N195" s="48"/>
    </row>
    <row r="196" customFormat="false" ht="15.75" hidden="false" customHeight="false" outlineLevel="0" collapsed="false">
      <c r="G196" s="46"/>
      <c r="H196" s="46"/>
      <c r="L196" s="46"/>
      <c r="N196" s="48"/>
    </row>
    <row r="197" customFormat="false" ht="15.75" hidden="false" customHeight="false" outlineLevel="0" collapsed="false">
      <c r="G197" s="46"/>
      <c r="H197" s="46"/>
      <c r="L197" s="46"/>
      <c r="N197" s="48"/>
    </row>
    <row r="198" customFormat="false" ht="15.75" hidden="false" customHeight="false" outlineLevel="0" collapsed="false">
      <c r="G198" s="46"/>
      <c r="H198" s="46"/>
      <c r="L198" s="46"/>
      <c r="N198" s="48"/>
    </row>
    <row r="199" customFormat="false" ht="15.75" hidden="false" customHeight="false" outlineLevel="0" collapsed="false">
      <c r="G199" s="46"/>
      <c r="H199" s="46"/>
      <c r="L199" s="46"/>
      <c r="N199" s="48"/>
    </row>
    <row r="200" customFormat="false" ht="15.75" hidden="false" customHeight="false" outlineLevel="0" collapsed="false">
      <c r="G200" s="46"/>
      <c r="H200" s="46"/>
      <c r="L200" s="46"/>
      <c r="N200" s="48"/>
    </row>
    <row r="201" customFormat="false" ht="15.75" hidden="false" customHeight="false" outlineLevel="0" collapsed="false">
      <c r="G201" s="46"/>
      <c r="H201" s="46"/>
      <c r="L201" s="46"/>
      <c r="N201" s="48"/>
    </row>
    <row r="202" customFormat="false" ht="15.75" hidden="false" customHeight="false" outlineLevel="0" collapsed="false">
      <c r="G202" s="46"/>
      <c r="H202" s="46"/>
      <c r="L202" s="46"/>
      <c r="N202" s="48"/>
    </row>
    <row r="203" customFormat="false" ht="15.75" hidden="false" customHeight="false" outlineLevel="0" collapsed="false">
      <c r="G203" s="46"/>
      <c r="H203" s="46"/>
      <c r="L203" s="46"/>
      <c r="N203" s="48"/>
    </row>
    <row r="204" customFormat="false" ht="15.75" hidden="false" customHeight="false" outlineLevel="0" collapsed="false">
      <c r="G204" s="46"/>
      <c r="H204" s="46"/>
      <c r="L204" s="46"/>
      <c r="N204" s="48"/>
    </row>
    <row r="205" customFormat="false" ht="15.75" hidden="false" customHeight="false" outlineLevel="0" collapsed="false">
      <c r="G205" s="46"/>
      <c r="H205" s="46"/>
      <c r="L205" s="46"/>
      <c r="N205" s="48"/>
    </row>
    <row r="206" customFormat="false" ht="15.75" hidden="false" customHeight="false" outlineLevel="0" collapsed="false">
      <c r="G206" s="46"/>
      <c r="H206" s="46"/>
      <c r="L206" s="46"/>
      <c r="N206" s="48"/>
    </row>
    <row r="207" customFormat="false" ht="15.75" hidden="false" customHeight="false" outlineLevel="0" collapsed="false">
      <c r="G207" s="46"/>
      <c r="H207" s="46"/>
      <c r="L207" s="46"/>
      <c r="N207" s="48"/>
    </row>
    <row r="208" customFormat="false" ht="15.75" hidden="false" customHeight="false" outlineLevel="0" collapsed="false">
      <c r="G208" s="46"/>
      <c r="H208" s="46"/>
      <c r="L208" s="46"/>
      <c r="N208" s="48"/>
    </row>
    <row r="209" customFormat="false" ht="15.75" hidden="false" customHeight="false" outlineLevel="0" collapsed="false">
      <c r="G209" s="46"/>
      <c r="H209" s="46"/>
      <c r="L209" s="46"/>
      <c r="N209" s="48"/>
    </row>
    <row r="210" customFormat="false" ht="15.75" hidden="false" customHeight="false" outlineLevel="0" collapsed="false">
      <c r="G210" s="46"/>
      <c r="H210" s="46"/>
      <c r="L210" s="46"/>
      <c r="N210" s="48"/>
    </row>
    <row r="211" customFormat="false" ht="15.75" hidden="false" customHeight="false" outlineLevel="0" collapsed="false">
      <c r="G211" s="46"/>
      <c r="H211" s="46"/>
      <c r="L211" s="46"/>
      <c r="N211" s="48"/>
    </row>
    <row r="212" customFormat="false" ht="15.75" hidden="false" customHeight="false" outlineLevel="0" collapsed="false">
      <c r="G212" s="46"/>
      <c r="H212" s="46"/>
      <c r="L212" s="46"/>
      <c r="N212" s="48"/>
    </row>
    <row r="213" customFormat="false" ht="15.75" hidden="false" customHeight="false" outlineLevel="0" collapsed="false">
      <c r="G213" s="46"/>
      <c r="H213" s="46"/>
      <c r="L213" s="46"/>
      <c r="N213" s="48"/>
    </row>
    <row r="214" customFormat="false" ht="15.75" hidden="false" customHeight="false" outlineLevel="0" collapsed="false">
      <c r="G214" s="46"/>
      <c r="H214" s="46"/>
      <c r="L214" s="46"/>
      <c r="N214" s="48"/>
    </row>
    <row r="215" customFormat="false" ht="15.75" hidden="false" customHeight="false" outlineLevel="0" collapsed="false">
      <c r="G215" s="46"/>
      <c r="H215" s="46"/>
      <c r="L215" s="46"/>
      <c r="N215" s="48"/>
    </row>
    <row r="216" customFormat="false" ht="15.75" hidden="false" customHeight="false" outlineLevel="0" collapsed="false">
      <c r="G216" s="46"/>
      <c r="H216" s="46"/>
      <c r="L216" s="46"/>
      <c r="N216" s="48"/>
    </row>
    <row r="217" customFormat="false" ht="15.75" hidden="false" customHeight="false" outlineLevel="0" collapsed="false">
      <c r="G217" s="46"/>
      <c r="H217" s="46"/>
      <c r="L217" s="46"/>
      <c r="N217" s="48"/>
    </row>
    <row r="218" customFormat="false" ht="15.75" hidden="false" customHeight="false" outlineLevel="0" collapsed="false">
      <c r="G218" s="46"/>
      <c r="H218" s="46"/>
      <c r="L218" s="46"/>
      <c r="N218" s="48"/>
    </row>
    <row r="219" customFormat="false" ht="15.75" hidden="false" customHeight="false" outlineLevel="0" collapsed="false">
      <c r="G219" s="46"/>
      <c r="H219" s="46"/>
      <c r="L219" s="46"/>
      <c r="N219" s="48"/>
    </row>
    <row r="220" customFormat="false" ht="15.75" hidden="false" customHeight="false" outlineLevel="0" collapsed="false">
      <c r="G220" s="46"/>
      <c r="H220" s="46"/>
      <c r="L220" s="46"/>
      <c r="N220" s="48"/>
    </row>
    <row r="221" customFormat="false" ht="15.75" hidden="false" customHeight="false" outlineLevel="0" collapsed="false">
      <c r="G221" s="46"/>
      <c r="H221" s="46"/>
      <c r="L221" s="46"/>
      <c r="N221" s="48"/>
    </row>
    <row r="222" customFormat="false" ht="15.75" hidden="false" customHeight="false" outlineLevel="0" collapsed="false">
      <c r="G222" s="46"/>
      <c r="H222" s="46"/>
      <c r="L222" s="46"/>
      <c r="N222" s="48"/>
    </row>
    <row r="223" customFormat="false" ht="15.75" hidden="false" customHeight="false" outlineLevel="0" collapsed="false">
      <c r="G223" s="46"/>
      <c r="H223" s="46"/>
      <c r="L223" s="46"/>
      <c r="N223" s="48"/>
    </row>
    <row r="224" customFormat="false" ht="15.75" hidden="false" customHeight="false" outlineLevel="0" collapsed="false">
      <c r="G224" s="46"/>
      <c r="H224" s="46"/>
      <c r="L224" s="46"/>
      <c r="N224" s="48"/>
    </row>
    <row r="225" customFormat="false" ht="15.75" hidden="false" customHeight="false" outlineLevel="0" collapsed="false">
      <c r="G225" s="46"/>
      <c r="H225" s="46"/>
      <c r="L225" s="46"/>
      <c r="N225" s="48"/>
    </row>
    <row r="226" customFormat="false" ht="15.75" hidden="false" customHeight="false" outlineLevel="0" collapsed="false">
      <c r="G226" s="46"/>
      <c r="H226" s="46"/>
      <c r="L226" s="46"/>
      <c r="N226" s="48"/>
    </row>
    <row r="227" customFormat="false" ht="15.75" hidden="false" customHeight="false" outlineLevel="0" collapsed="false">
      <c r="G227" s="46"/>
      <c r="H227" s="46"/>
      <c r="L227" s="46"/>
      <c r="N227" s="48"/>
    </row>
    <row r="228" customFormat="false" ht="15.75" hidden="false" customHeight="false" outlineLevel="0" collapsed="false">
      <c r="G228" s="46"/>
      <c r="H228" s="46"/>
      <c r="L228" s="46"/>
      <c r="N228" s="48"/>
    </row>
    <row r="229" customFormat="false" ht="15.75" hidden="false" customHeight="false" outlineLevel="0" collapsed="false">
      <c r="G229" s="46"/>
      <c r="H229" s="46"/>
      <c r="L229" s="46"/>
      <c r="N229" s="48"/>
    </row>
    <row r="230" customFormat="false" ht="15.75" hidden="false" customHeight="false" outlineLevel="0" collapsed="false">
      <c r="G230" s="46"/>
      <c r="H230" s="46"/>
      <c r="L230" s="46"/>
      <c r="N230" s="48"/>
    </row>
    <row r="231" customFormat="false" ht="15.75" hidden="false" customHeight="false" outlineLevel="0" collapsed="false">
      <c r="G231" s="46"/>
      <c r="H231" s="46"/>
      <c r="L231" s="46"/>
      <c r="N231" s="48"/>
    </row>
    <row r="232" customFormat="false" ht="15.75" hidden="false" customHeight="false" outlineLevel="0" collapsed="false">
      <c r="G232" s="46"/>
      <c r="H232" s="46"/>
      <c r="L232" s="46"/>
      <c r="N232" s="48"/>
    </row>
    <row r="233" customFormat="false" ht="15.75" hidden="false" customHeight="false" outlineLevel="0" collapsed="false">
      <c r="G233" s="46"/>
      <c r="H233" s="46"/>
      <c r="L233" s="46"/>
      <c r="N233" s="48"/>
    </row>
    <row r="234" customFormat="false" ht="15.75" hidden="false" customHeight="false" outlineLevel="0" collapsed="false">
      <c r="G234" s="46"/>
      <c r="H234" s="46"/>
      <c r="L234" s="46"/>
      <c r="N234" s="48"/>
    </row>
    <row r="235" customFormat="false" ht="15.75" hidden="false" customHeight="false" outlineLevel="0" collapsed="false">
      <c r="G235" s="46"/>
      <c r="H235" s="46"/>
      <c r="L235" s="46"/>
      <c r="N235" s="48"/>
    </row>
    <row r="236" customFormat="false" ht="15.75" hidden="false" customHeight="false" outlineLevel="0" collapsed="false">
      <c r="G236" s="46"/>
      <c r="H236" s="46"/>
      <c r="L236" s="46"/>
      <c r="N236" s="48"/>
    </row>
    <row r="237" customFormat="false" ht="15.75" hidden="false" customHeight="false" outlineLevel="0" collapsed="false">
      <c r="G237" s="46"/>
      <c r="H237" s="46"/>
      <c r="L237" s="46"/>
      <c r="N237" s="48"/>
    </row>
    <row r="238" customFormat="false" ht="15.75" hidden="false" customHeight="false" outlineLevel="0" collapsed="false">
      <c r="G238" s="46"/>
      <c r="H238" s="46"/>
      <c r="L238" s="46"/>
      <c r="N238" s="48"/>
    </row>
    <row r="239" customFormat="false" ht="15.75" hidden="false" customHeight="false" outlineLevel="0" collapsed="false">
      <c r="G239" s="46"/>
      <c r="H239" s="46"/>
      <c r="L239" s="46"/>
      <c r="N239" s="48"/>
    </row>
    <row r="240" customFormat="false" ht="15.75" hidden="false" customHeight="false" outlineLevel="0" collapsed="false">
      <c r="G240" s="46"/>
      <c r="H240" s="46"/>
      <c r="L240" s="46"/>
      <c r="N240" s="48"/>
    </row>
    <row r="241" customFormat="false" ht="15.75" hidden="false" customHeight="false" outlineLevel="0" collapsed="false">
      <c r="G241" s="46"/>
      <c r="H241" s="46"/>
      <c r="L241" s="46"/>
      <c r="N241" s="48"/>
    </row>
    <row r="242" customFormat="false" ht="15.75" hidden="false" customHeight="false" outlineLevel="0" collapsed="false">
      <c r="G242" s="46"/>
      <c r="H242" s="46"/>
      <c r="L242" s="46"/>
      <c r="N242" s="48"/>
    </row>
    <row r="243" customFormat="false" ht="15.75" hidden="false" customHeight="false" outlineLevel="0" collapsed="false">
      <c r="G243" s="46"/>
      <c r="H243" s="46"/>
      <c r="L243" s="46"/>
      <c r="N243" s="48"/>
    </row>
    <row r="244" customFormat="false" ht="15.75" hidden="false" customHeight="false" outlineLevel="0" collapsed="false">
      <c r="G244" s="46"/>
      <c r="H244" s="46"/>
      <c r="L244" s="46"/>
      <c r="N244" s="48"/>
    </row>
    <row r="245" customFormat="false" ht="15.75" hidden="false" customHeight="false" outlineLevel="0" collapsed="false">
      <c r="G245" s="46"/>
      <c r="H245" s="46"/>
      <c r="L245" s="46"/>
      <c r="N245" s="48"/>
    </row>
    <row r="246" customFormat="false" ht="15.75" hidden="false" customHeight="false" outlineLevel="0" collapsed="false">
      <c r="G246" s="46"/>
      <c r="H246" s="46"/>
      <c r="L246" s="46"/>
      <c r="N246" s="48"/>
    </row>
    <row r="247" customFormat="false" ht="15.75" hidden="false" customHeight="false" outlineLevel="0" collapsed="false">
      <c r="G247" s="46"/>
      <c r="H247" s="46"/>
      <c r="L247" s="46"/>
      <c r="N247" s="48"/>
    </row>
    <row r="248" customFormat="false" ht="15.75" hidden="false" customHeight="false" outlineLevel="0" collapsed="false">
      <c r="G248" s="46"/>
      <c r="H248" s="46"/>
      <c r="L248" s="46"/>
      <c r="N248" s="48"/>
    </row>
    <row r="249" customFormat="false" ht="15.75" hidden="false" customHeight="false" outlineLevel="0" collapsed="false">
      <c r="G249" s="46"/>
      <c r="H249" s="46"/>
      <c r="L249" s="46"/>
      <c r="N249" s="48"/>
    </row>
    <row r="250" customFormat="false" ht="15.75" hidden="false" customHeight="false" outlineLevel="0" collapsed="false">
      <c r="G250" s="46"/>
      <c r="H250" s="46"/>
      <c r="L250" s="46"/>
      <c r="N250" s="48"/>
    </row>
    <row r="251" customFormat="false" ht="15.75" hidden="false" customHeight="false" outlineLevel="0" collapsed="false">
      <c r="G251" s="46"/>
      <c r="H251" s="46"/>
      <c r="L251" s="46"/>
      <c r="N251" s="48"/>
    </row>
    <row r="252" customFormat="false" ht="15.75" hidden="false" customHeight="false" outlineLevel="0" collapsed="false">
      <c r="G252" s="46"/>
      <c r="H252" s="46"/>
      <c r="L252" s="46"/>
      <c r="N252" s="48"/>
    </row>
    <row r="253" customFormat="false" ht="15.75" hidden="false" customHeight="false" outlineLevel="0" collapsed="false">
      <c r="G253" s="46"/>
      <c r="H253" s="46"/>
      <c r="L253" s="46"/>
      <c r="N253" s="48"/>
    </row>
    <row r="254" customFormat="false" ht="15.75" hidden="false" customHeight="false" outlineLevel="0" collapsed="false">
      <c r="G254" s="46"/>
      <c r="H254" s="46"/>
      <c r="L254" s="46"/>
      <c r="N254" s="48"/>
    </row>
    <row r="255" customFormat="false" ht="15.75" hidden="false" customHeight="false" outlineLevel="0" collapsed="false">
      <c r="G255" s="46"/>
      <c r="H255" s="46"/>
      <c r="L255" s="46"/>
      <c r="N255" s="48"/>
    </row>
    <row r="256" customFormat="false" ht="15.75" hidden="false" customHeight="false" outlineLevel="0" collapsed="false">
      <c r="G256" s="46"/>
      <c r="H256" s="46"/>
      <c r="L256" s="46"/>
      <c r="N256" s="48"/>
    </row>
    <row r="257" customFormat="false" ht="15.75" hidden="false" customHeight="false" outlineLevel="0" collapsed="false">
      <c r="G257" s="46"/>
      <c r="H257" s="46"/>
      <c r="L257" s="46"/>
      <c r="N257" s="48"/>
    </row>
    <row r="258" customFormat="false" ht="15.75" hidden="false" customHeight="false" outlineLevel="0" collapsed="false">
      <c r="G258" s="46"/>
      <c r="H258" s="46"/>
      <c r="L258" s="46"/>
      <c r="N258" s="48"/>
    </row>
    <row r="259" customFormat="false" ht="15.75" hidden="false" customHeight="false" outlineLevel="0" collapsed="false">
      <c r="G259" s="46"/>
      <c r="H259" s="46"/>
      <c r="L259" s="46"/>
      <c r="N259" s="48"/>
    </row>
    <row r="260" customFormat="false" ht="15.75" hidden="false" customHeight="false" outlineLevel="0" collapsed="false">
      <c r="G260" s="46"/>
      <c r="H260" s="46"/>
      <c r="L260" s="46"/>
      <c r="N260" s="48"/>
    </row>
    <row r="261" customFormat="false" ht="15.75" hidden="false" customHeight="false" outlineLevel="0" collapsed="false">
      <c r="G261" s="46"/>
      <c r="H261" s="46"/>
      <c r="L261" s="46"/>
      <c r="N261" s="48"/>
    </row>
    <row r="262" customFormat="false" ht="15.75" hidden="false" customHeight="false" outlineLevel="0" collapsed="false">
      <c r="G262" s="46"/>
      <c r="H262" s="46"/>
      <c r="L262" s="46"/>
      <c r="N262" s="48"/>
    </row>
    <row r="263" customFormat="false" ht="15.75" hidden="false" customHeight="false" outlineLevel="0" collapsed="false">
      <c r="G263" s="46"/>
      <c r="H263" s="46"/>
      <c r="L263" s="46"/>
      <c r="N263" s="48"/>
    </row>
    <row r="264" customFormat="false" ht="15.75" hidden="false" customHeight="false" outlineLevel="0" collapsed="false">
      <c r="G264" s="46"/>
      <c r="H264" s="46"/>
      <c r="L264" s="46"/>
      <c r="N264" s="48"/>
    </row>
    <row r="265" customFormat="false" ht="15.75" hidden="false" customHeight="false" outlineLevel="0" collapsed="false">
      <c r="G265" s="46"/>
      <c r="H265" s="46"/>
      <c r="L265" s="46"/>
      <c r="N265" s="48"/>
    </row>
    <row r="266" customFormat="false" ht="15.75" hidden="false" customHeight="false" outlineLevel="0" collapsed="false">
      <c r="G266" s="46"/>
      <c r="H266" s="46"/>
      <c r="L266" s="46"/>
      <c r="N266" s="48"/>
    </row>
    <row r="267" customFormat="false" ht="15.75" hidden="false" customHeight="false" outlineLevel="0" collapsed="false">
      <c r="G267" s="46"/>
      <c r="H267" s="46"/>
      <c r="L267" s="46"/>
      <c r="N267" s="48"/>
    </row>
    <row r="268" customFormat="false" ht="15.75" hidden="false" customHeight="false" outlineLevel="0" collapsed="false">
      <c r="G268" s="46"/>
      <c r="H268" s="46"/>
      <c r="L268" s="46"/>
      <c r="N268" s="48"/>
    </row>
    <row r="269" customFormat="false" ht="15.75" hidden="false" customHeight="false" outlineLevel="0" collapsed="false">
      <c r="G269" s="46"/>
      <c r="H269" s="46"/>
      <c r="L269" s="46"/>
      <c r="N269" s="48"/>
    </row>
    <row r="270" customFormat="false" ht="15.75" hidden="false" customHeight="false" outlineLevel="0" collapsed="false">
      <c r="G270" s="46"/>
      <c r="H270" s="46"/>
      <c r="L270" s="46"/>
      <c r="N270" s="48"/>
    </row>
    <row r="271" customFormat="false" ht="15.75" hidden="false" customHeight="false" outlineLevel="0" collapsed="false">
      <c r="G271" s="46"/>
      <c r="H271" s="46"/>
      <c r="L271" s="46"/>
      <c r="N271" s="48"/>
    </row>
    <row r="272" customFormat="false" ht="15.75" hidden="false" customHeight="false" outlineLevel="0" collapsed="false">
      <c r="G272" s="46"/>
      <c r="H272" s="46"/>
      <c r="L272" s="46"/>
      <c r="N272" s="48"/>
    </row>
    <row r="273" customFormat="false" ht="15.75" hidden="false" customHeight="false" outlineLevel="0" collapsed="false">
      <c r="G273" s="46"/>
      <c r="H273" s="46"/>
      <c r="L273" s="46"/>
      <c r="N273" s="48"/>
    </row>
    <row r="274" customFormat="false" ht="15.75" hidden="false" customHeight="false" outlineLevel="0" collapsed="false">
      <c r="G274" s="46"/>
      <c r="H274" s="46"/>
      <c r="L274" s="46"/>
      <c r="N274" s="48"/>
    </row>
    <row r="275" customFormat="false" ht="15.75" hidden="false" customHeight="false" outlineLevel="0" collapsed="false">
      <c r="G275" s="46"/>
      <c r="H275" s="46"/>
      <c r="L275" s="46"/>
      <c r="N275" s="48"/>
    </row>
    <row r="276" customFormat="false" ht="15.75" hidden="false" customHeight="false" outlineLevel="0" collapsed="false">
      <c r="G276" s="46"/>
      <c r="H276" s="46"/>
      <c r="L276" s="46"/>
      <c r="N276" s="48"/>
    </row>
    <row r="277" customFormat="false" ht="15.75" hidden="false" customHeight="false" outlineLevel="0" collapsed="false">
      <c r="G277" s="46"/>
      <c r="H277" s="46"/>
      <c r="L277" s="46"/>
      <c r="N277" s="48"/>
    </row>
    <row r="278" customFormat="false" ht="15.75" hidden="false" customHeight="false" outlineLevel="0" collapsed="false">
      <c r="G278" s="46"/>
      <c r="H278" s="46"/>
      <c r="L278" s="46"/>
      <c r="N278" s="48"/>
    </row>
    <row r="279" customFormat="false" ht="15.75" hidden="false" customHeight="false" outlineLevel="0" collapsed="false">
      <c r="G279" s="46"/>
      <c r="H279" s="46"/>
      <c r="L279" s="46"/>
      <c r="N279" s="48"/>
    </row>
    <row r="280" customFormat="false" ht="15.75" hidden="false" customHeight="false" outlineLevel="0" collapsed="false">
      <c r="G280" s="46"/>
      <c r="H280" s="46"/>
      <c r="L280" s="46"/>
      <c r="N280" s="48"/>
    </row>
    <row r="281" customFormat="false" ht="15.75" hidden="false" customHeight="false" outlineLevel="0" collapsed="false">
      <c r="G281" s="46"/>
      <c r="H281" s="46"/>
      <c r="L281" s="46"/>
      <c r="N281" s="48"/>
    </row>
    <row r="282" customFormat="false" ht="15.75" hidden="false" customHeight="false" outlineLevel="0" collapsed="false">
      <c r="G282" s="46"/>
      <c r="H282" s="46"/>
      <c r="L282" s="46"/>
      <c r="N282" s="48"/>
    </row>
    <row r="283" customFormat="false" ht="15.75" hidden="false" customHeight="false" outlineLevel="0" collapsed="false">
      <c r="G283" s="46"/>
      <c r="H283" s="46"/>
      <c r="L283" s="46"/>
      <c r="N283" s="48"/>
    </row>
    <row r="284" customFormat="false" ht="15.75" hidden="false" customHeight="false" outlineLevel="0" collapsed="false">
      <c r="G284" s="46"/>
      <c r="H284" s="46"/>
      <c r="L284" s="46"/>
      <c r="N284" s="48"/>
    </row>
    <row r="285" customFormat="false" ht="15.75" hidden="false" customHeight="false" outlineLevel="0" collapsed="false">
      <c r="G285" s="46"/>
      <c r="H285" s="46"/>
      <c r="L285" s="46"/>
      <c r="N285" s="48"/>
    </row>
    <row r="286" customFormat="false" ht="15.75" hidden="false" customHeight="false" outlineLevel="0" collapsed="false">
      <c r="G286" s="46"/>
      <c r="H286" s="46"/>
      <c r="L286" s="46"/>
      <c r="N286" s="48"/>
    </row>
    <row r="287" customFormat="false" ht="15.75" hidden="false" customHeight="false" outlineLevel="0" collapsed="false">
      <c r="G287" s="46"/>
      <c r="H287" s="46"/>
      <c r="L287" s="46"/>
      <c r="N287" s="48"/>
    </row>
    <row r="288" customFormat="false" ht="15.75" hidden="false" customHeight="false" outlineLevel="0" collapsed="false">
      <c r="G288" s="46"/>
      <c r="H288" s="46"/>
      <c r="L288" s="46"/>
      <c r="N288" s="48"/>
    </row>
    <row r="289" customFormat="false" ht="15.75" hidden="false" customHeight="false" outlineLevel="0" collapsed="false">
      <c r="G289" s="46"/>
      <c r="H289" s="46"/>
      <c r="L289" s="46"/>
      <c r="N289" s="48"/>
    </row>
    <row r="290" customFormat="false" ht="15.75" hidden="false" customHeight="false" outlineLevel="0" collapsed="false">
      <c r="G290" s="46"/>
      <c r="H290" s="46"/>
      <c r="L290" s="46"/>
      <c r="N290" s="48"/>
    </row>
    <row r="291" customFormat="false" ht="15.75" hidden="false" customHeight="false" outlineLevel="0" collapsed="false">
      <c r="G291" s="46"/>
      <c r="H291" s="46"/>
      <c r="L291" s="46"/>
      <c r="N291" s="48"/>
    </row>
    <row r="292" customFormat="false" ht="15.75" hidden="false" customHeight="false" outlineLevel="0" collapsed="false">
      <c r="G292" s="46"/>
      <c r="H292" s="46"/>
      <c r="L292" s="46"/>
      <c r="N292" s="48"/>
    </row>
    <row r="293" customFormat="false" ht="15.75" hidden="false" customHeight="false" outlineLevel="0" collapsed="false">
      <c r="G293" s="46"/>
      <c r="H293" s="46"/>
      <c r="L293" s="46"/>
      <c r="N293" s="48"/>
    </row>
    <row r="294" customFormat="false" ht="15.75" hidden="false" customHeight="false" outlineLevel="0" collapsed="false">
      <c r="G294" s="46"/>
      <c r="H294" s="46"/>
      <c r="L294" s="46"/>
      <c r="N294" s="48"/>
    </row>
    <row r="295" customFormat="false" ht="15.75" hidden="false" customHeight="false" outlineLevel="0" collapsed="false">
      <c r="G295" s="46"/>
      <c r="H295" s="46"/>
      <c r="L295" s="46"/>
      <c r="N295" s="48"/>
    </row>
    <row r="296" customFormat="false" ht="15.75" hidden="false" customHeight="false" outlineLevel="0" collapsed="false">
      <c r="G296" s="46"/>
      <c r="H296" s="46"/>
      <c r="L296" s="46"/>
      <c r="N296" s="48"/>
    </row>
    <row r="297" customFormat="false" ht="15.75" hidden="false" customHeight="false" outlineLevel="0" collapsed="false">
      <c r="G297" s="46"/>
      <c r="H297" s="46"/>
      <c r="L297" s="46"/>
      <c r="N297" s="48"/>
    </row>
    <row r="298" customFormat="false" ht="15.75" hidden="false" customHeight="false" outlineLevel="0" collapsed="false">
      <c r="G298" s="46"/>
      <c r="H298" s="46"/>
      <c r="L298" s="46"/>
      <c r="N298" s="48"/>
    </row>
    <row r="299" customFormat="false" ht="15.75" hidden="false" customHeight="false" outlineLevel="0" collapsed="false">
      <c r="G299" s="46"/>
      <c r="H299" s="46"/>
      <c r="L299" s="46"/>
      <c r="N299" s="48"/>
    </row>
    <row r="300" customFormat="false" ht="15.75" hidden="false" customHeight="false" outlineLevel="0" collapsed="false">
      <c r="G300" s="46"/>
      <c r="H300" s="46"/>
      <c r="L300" s="46"/>
      <c r="N300" s="48"/>
    </row>
    <row r="301" customFormat="false" ht="15.75" hidden="false" customHeight="false" outlineLevel="0" collapsed="false">
      <c r="G301" s="46"/>
      <c r="H301" s="46"/>
      <c r="L301" s="46"/>
      <c r="N301" s="48"/>
    </row>
    <row r="302" customFormat="false" ht="15.75" hidden="false" customHeight="false" outlineLevel="0" collapsed="false">
      <c r="G302" s="46"/>
      <c r="H302" s="46"/>
      <c r="L302" s="46"/>
      <c r="N302" s="48"/>
    </row>
    <row r="303" customFormat="false" ht="15.75" hidden="false" customHeight="false" outlineLevel="0" collapsed="false">
      <c r="G303" s="46"/>
      <c r="H303" s="46"/>
      <c r="L303" s="46"/>
      <c r="N303" s="48"/>
    </row>
    <row r="304" customFormat="false" ht="15.75" hidden="false" customHeight="false" outlineLevel="0" collapsed="false">
      <c r="G304" s="46"/>
      <c r="H304" s="46"/>
      <c r="L304" s="46"/>
      <c r="N304" s="48"/>
    </row>
    <row r="305" customFormat="false" ht="15.75" hidden="false" customHeight="false" outlineLevel="0" collapsed="false">
      <c r="G305" s="46"/>
      <c r="H305" s="46"/>
      <c r="L305" s="46"/>
      <c r="N305" s="48"/>
    </row>
    <row r="306" customFormat="false" ht="15.75" hidden="false" customHeight="false" outlineLevel="0" collapsed="false">
      <c r="G306" s="46"/>
      <c r="H306" s="46"/>
      <c r="L306" s="46"/>
      <c r="N306" s="48"/>
    </row>
    <row r="307" customFormat="false" ht="15.75" hidden="false" customHeight="false" outlineLevel="0" collapsed="false">
      <c r="G307" s="46"/>
      <c r="H307" s="46"/>
      <c r="L307" s="46"/>
      <c r="N307" s="48"/>
    </row>
    <row r="308" customFormat="false" ht="15.75" hidden="false" customHeight="false" outlineLevel="0" collapsed="false">
      <c r="G308" s="46"/>
      <c r="H308" s="46"/>
      <c r="L308" s="46"/>
      <c r="N308" s="48"/>
    </row>
    <row r="309" customFormat="false" ht="15.75" hidden="false" customHeight="false" outlineLevel="0" collapsed="false">
      <c r="G309" s="46"/>
      <c r="H309" s="46"/>
      <c r="L309" s="46"/>
      <c r="N309" s="48"/>
    </row>
    <row r="310" customFormat="false" ht="15.75" hidden="false" customHeight="false" outlineLevel="0" collapsed="false">
      <c r="G310" s="46"/>
      <c r="H310" s="46"/>
      <c r="L310" s="46"/>
      <c r="N310" s="48"/>
    </row>
    <row r="311" customFormat="false" ht="15.75" hidden="false" customHeight="false" outlineLevel="0" collapsed="false">
      <c r="G311" s="46"/>
      <c r="H311" s="46"/>
      <c r="L311" s="46"/>
      <c r="N311" s="48"/>
    </row>
    <row r="312" customFormat="false" ht="15.75" hidden="false" customHeight="false" outlineLevel="0" collapsed="false">
      <c r="G312" s="46"/>
      <c r="H312" s="46"/>
      <c r="L312" s="46"/>
      <c r="N312" s="48"/>
    </row>
    <row r="313" customFormat="false" ht="15.75" hidden="false" customHeight="false" outlineLevel="0" collapsed="false">
      <c r="G313" s="46"/>
      <c r="H313" s="46"/>
      <c r="L313" s="46"/>
      <c r="N313" s="48"/>
    </row>
    <row r="314" customFormat="false" ht="15.75" hidden="false" customHeight="false" outlineLevel="0" collapsed="false">
      <c r="G314" s="46"/>
      <c r="H314" s="46"/>
      <c r="L314" s="46"/>
      <c r="N314" s="48"/>
    </row>
    <row r="315" customFormat="false" ht="15.75" hidden="false" customHeight="false" outlineLevel="0" collapsed="false">
      <c r="G315" s="46"/>
      <c r="H315" s="46"/>
      <c r="L315" s="46"/>
      <c r="N315" s="48"/>
    </row>
    <row r="316" customFormat="false" ht="15.75" hidden="false" customHeight="false" outlineLevel="0" collapsed="false">
      <c r="G316" s="46"/>
      <c r="H316" s="46"/>
      <c r="L316" s="46"/>
      <c r="N316" s="48"/>
    </row>
    <row r="317" customFormat="false" ht="15.75" hidden="false" customHeight="false" outlineLevel="0" collapsed="false">
      <c r="G317" s="46"/>
      <c r="H317" s="46"/>
      <c r="L317" s="46"/>
      <c r="N317" s="48"/>
    </row>
    <row r="318" customFormat="false" ht="15.75" hidden="false" customHeight="false" outlineLevel="0" collapsed="false">
      <c r="G318" s="46"/>
      <c r="H318" s="46"/>
      <c r="L318" s="46"/>
      <c r="N318" s="48"/>
    </row>
    <row r="319" customFormat="false" ht="15.75" hidden="false" customHeight="false" outlineLevel="0" collapsed="false">
      <c r="G319" s="46"/>
      <c r="H319" s="46"/>
      <c r="L319" s="46"/>
      <c r="N319" s="48"/>
    </row>
    <row r="320" customFormat="false" ht="15.75" hidden="false" customHeight="false" outlineLevel="0" collapsed="false">
      <c r="G320" s="46"/>
      <c r="H320" s="46"/>
      <c r="L320" s="46"/>
      <c r="N320" s="48"/>
    </row>
    <row r="321" customFormat="false" ht="15.75" hidden="false" customHeight="false" outlineLevel="0" collapsed="false">
      <c r="G321" s="46"/>
      <c r="H321" s="46"/>
      <c r="L321" s="46"/>
      <c r="N321" s="48"/>
    </row>
    <row r="322" customFormat="false" ht="15.75" hidden="false" customHeight="false" outlineLevel="0" collapsed="false">
      <c r="G322" s="46"/>
      <c r="H322" s="46"/>
      <c r="L322" s="46"/>
      <c r="N322" s="48"/>
    </row>
    <row r="323" customFormat="false" ht="15.75" hidden="false" customHeight="false" outlineLevel="0" collapsed="false">
      <c r="G323" s="46"/>
      <c r="H323" s="46"/>
      <c r="L323" s="46"/>
      <c r="N323" s="48"/>
    </row>
    <row r="324" customFormat="false" ht="15.75" hidden="false" customHeight="false" outlineLevel="0" collapsed="false">
      <c r="G324" s="46"/>
      <c r="H324" s="46"/>
      <c r="L324" s="46"/>
      <c r="N324" s="48"/>
    </row>
    <row r="325" customFormat="false" ht="15.75" hidden="false" customHeight="false" outlineLevel="0" collapsed="false">
      <c r="G325" s="46"/>
      <c r="H325" s="46"/>
      <c r="L325" s="46"/>
      <c r="N325" s="48"/>
    </row>
    <row r="326" customFormat="false" ht="15.75" hidden="false" customHeight="false" outlineLevel="0" collapsed="false">
      <c r="G326" s="46"/>
      <c r="H326" s="46"/>
      <c r="L326" s="46"/>
      <c r="N326" s="48"/>
    </row>
    <row r="327" customFormat="false" ht="15.75" hidden="false" customHeight="false" outlineLevel="0" collapsed="false">
      <c r="G327" s="46"/>
      <c r="H327" s="46"/>
      <c r="L327" s="46"/>
      <c r="N327" s="48"/>
    </row>
    <row r="328" customFormat="false" ht="15.75" hidden="false" customHeight="false" outlineLevel="0" collapsed="false">
      <c r="G328" s="46"/>
      <c r="H328" s="46"/>
      <c r="L328" s="46"/>
      <c r="N328" s="48"/>
    </row>
    <row r="329" customFormat="false" ht="15.75" hidden="false" customHeight="false" outlineLevel="0" collapsed="false">
      <c r="G329" s="46"/>
      <c r="H329" s="46"/>
      <c r="L329" s="46"/>
      <c r="N329" s="48"/>
    </row>
    <row r="330" customFormat="false" ht="15.75" hidden="false" customHeight="false" outlineLevel="0" collapsed="false">
      <c r="G330" s="46"/>
      <c r="H330" s="46"/>
      <c r="L330" s="46"/>
      <c r="N330" s="48"/>
    </row>
    <row r="331" customFormat="false" ht="15.75" hidden="false" customHeight="false" outlineLevel="0" collapsed="false">
      <c r="G331" s="46"/>
      <c r="H331" s="46"/>
      <c r="L331" s="46"/>
      <c r="N331" s="48"/>
    </row>
    <row r="332" customFormat="false" ht="15.75" hidden="false" customHeight="false" outlineLevel="0" collapsed="false">
      <c r="G332" s="46"/>
      <c r="H332" s="46"/>
      <c r="L332" s="46"/>
      <c r="N332" s="48"/>
    </row>
    <row r="333" customFormat="false" ht="15.75" hidden="false" customHeight="false" outlineLevel="0" collapsed="false">
      <c r="G333" s="46"/>
      <c r="H333" s="46"/>
      <c r="L333" s="46"/>
      <c r="N333" s="48"/>
    </row>
    <row r="334" customFormat="false" ht="15.75" hidden="false" customHeight="false" outlineLevel="0" collapsed="false">
      <c r="G334" s="46"/>
      <c r="H334" s="46"/>
      <c r="L334" s="46"/>
      <c r="N334" s="48"/>
    </row>
    <row r="335" customFormat="false" ht="15.75" hidden="false" customHeight="false" outlineLevel="0" collapsed="false">
      <c r="G335" s="46"/>
      <c r="H335" s="46"/>
      <c r="L335" s="46"/>
      <c r="N335" s="48"/>
    </row>
    <row r="336" customFormat="false" ht="15.75" hidden="false" customHeight="false" outlineLevel="0" collapsed="false">
      <c r="G336" s="46"/>
      <c r="H336" s="46"/>
      <c r="L336" s="46"/>
      <c r="N336" s="48"/>
    </row>
    <row r="337" customFormat="false" ht="15.75" hidden="false" customHeight="false" outlineLevel="0" collapsed="false">
      <c r="G337" s="46"/>
      <c r="H337" s="46"/>
      <c r="L337" s="46"/>
      <c r="N337" s="48"/>
    </row>
    <row r="338" customFormat="false" ht="15.75" hidden="false" customHeight="false" outlineLevel="0" collapsed="false">
      <c r="G338" s="46"/>
      <c r="H338" s="46"/>
      <c r="L338" s="46"/>
      <c r="N338" s="48"/>
    </row>
    <row r="339" customFormat="false" ht="15.75" hidden="false" customHeight="false" outlineLevel="0" collapsed="false">
      <c r="G339" s="46"/>
      <c r="H339" s="46"/>
      <c r="L339" s="46"/>
      <c r="N339" s="48"/>
    </row>
    <row r="340" customFormat="false" ht="15.75" hidden="false" customHeight="false" outlineLevel="0" collapsed="false">
      <c r="G340" s="46"/>
      <c r="H340" s="46"/>
      <c r="L340" s="46"/>
      <c r="N340" s="48"/>
    </row>
    <row r="341" customFormat="false" ht="15.75" hidden="false" customHeight="false" outlineLevel="0" collapsed="false">
      <c r="G341" s="46"/>
      <c r="H341" s="46"/>
      <c r="L341" s="46"/>
      <c r="N341" s="48"/>
    </row>
    <row r="342" customFormat="false" ht="15.75" hidden="false" customHeight="false" outlineLevel="0" collapsed="false">
      <c r="G342" s="46"/>
      <c r="H342" s="46"/>
      <c r="L342" s="46"/>
      <c r="N342" s="48"/>
    </row>
    <row r="343" customFormat="false" ht="15.75" hidden="false" customHeight="false" outlineLevel="0" collapsed="false">
      <c r="G343" s="46"/>
      <c r="H343" s="46"/>
      <c r="L343" s="46"/>
      <c r="N343" s="48"/>
    </row>
    <row r="344" customFormat="false" ht="15.75" hidden="false" customHeight="false" outlineLevel="0" collapsed="false">
      <c r="G344" s="46"/>
      <c r="H344" s="46"/>
      <c r="L344" s="46"/>
      <c r="N344" s="48"/>
    </row>
    <row r="345" customFormat="false" ht="15.75" hidden="false" customHeight="false" outlineLevel="0" collapsed="false">
      <c r="G345" s="46"/>
      <c r="H345" s="46"/>
      <c r="L345" s="46"/>
      <c r="N345" s="48"/>
    </row>
    <row r="346" customFormat="false" ht="15.75" hidden="false" customHeight="false" outlineLevel="0" collapsed="false">
      <c r="G346" s="46"/>
      <c r="H346" s="46"/>
      <c r="L346" s="46"/>
      <c r="N346" s="48"/>
    </row>
    <row r="347" customFormat="false" ht="15.75" hidden="false" customHeight="false" outlineLevel="0" collapsed="false">
      <c r="G347" s="46"/>
      <c r="H347" s="46"/>
      <c r="L347" s="46"/>
      <c r="N347" s="48"/>
    </row>
    <row r="348" customFormat="false" ht="15.75" hidden="false" customHeight="false" outlineLevel="0" collapsed="false">
      <c r="G348" s="46"/>
      <c r="H348" s="46"/>
      <c r="L348" s="46"/>
      <c r="N348" s="48"/>
    </row>
    <row r="349" customFormat="false" ht="15.75" hidden="false" customHeight="false" outlineLevel="0" collapsed="false">
      <c r="G349" s="46"/>
      <c r="H349" s="46"/>
      <c r="L349" s="46"/>
      <c r="N349" s="48"/>
    </row>
    <row r="350" customFormat="false" ht="15.75" hidden="false" customHeight="false" outlineLevel="0" collapsed="false">
      <c r="G350" s="46"/>
      <c r="H350" s="46"/>
      <c r="L350" s="46"/>
      <c r="N350" s="48"/>
    </row>
    <row r="351" customFormat="false" ht="15.75" hidden="false" customHeight="false" outlineLevel="0" collapsed="false">
      <c r="G351" s="46"/>
      <c r="H351" s="46"/>
      <c r="L351" s="46"/>
      <c r="N351" s="48"/>
    </row>
    <row r="352" customFormat="false" ht="15.75" hidden="false" customHeight="false" outlineLevel="0" collapsed="false">
      <c r="G352" s="46"/>
      <c r="H352" s="46"/>
      <c r="L352" s="46"/>
      <c r="N352" s="48"/>
    </row>
    <row r="353" customFormat="false" ht="15.75" hidden="false" customHeight="false" outlineLevel="0" collapsed="false">
      <c r="G353" s="46"/>
      <c r="H353" s="46"/>
      <c r="L353" s="46"/>
      <c r="N353" s="48"/>
    </row>
    <row r="354" customFormat="false" ht="15.75" hidden="false" customHeight="false" outlineLevel="0" collapsed="false">
      <c r="G354" s="46"/>
      <c r="H354" s="46"/>
      <c r="L354" s="46"/>
      <c r="N354" s="48"/>
    </row>
    <row r="355" customFormat="false" ht="15.75" hidden="false" customHeight="false" outlineLevel="0" collapsed="false">
      <c r="G355" s="46"/>
      <c r="H355" s="46"/>
      <c r="L355" s="46"/>
      <c r="N355" s="48"/>
    </row>
    <row r="356" customFormat="false" ht="15.75" hidden="false" customHeight="false" outlineLevel="0" collapsed="false">
      <c r="G356" s="46"/>
      <c r="H356" s="46"/>
      <c r="L356" s="46"/>
      <c r="N356" s="48"/>
    </row>
    <row r="357" customFormat="false" ht="15.75" hidden="false" customHeight="false" outlineLevel="0" collapsed="false">
      <c r="G357" s="46"/>
      <c r="H357" s="46"/>
      <c r="L357" s="46"/>
      <c r="N357" s="48"/>
    </row>
    <row r="358" customFormat="false" ht="15.75" hidden="false" customHeight="false" outlineLevel="0" collapsed="false">
      <c r="G358" s="46"/>
      <c r="H358" s="46"/>
      <c r="L358" s="46"/>
      <c r="N358" s="48"/>
    </row>
    <row r="359" customFormat="false" ht="15.75" hidden="false" customHeight="false" outlineLevel="0" collapsed="false">
      <c r="G359" s="46"/>
      <c r="H359" s="46"/>
      <c r="L359" s="46"/>
      <c r="N359" s="48"/>
    </row>
    <row r="360" customFormat="false" ht="15.75" hidden="false" customHeight="false" outlineLevel="0" collapsed="false">
      <c r="G360" s="46"/>
      <c r="H360" s="46"/>
      <c r="L360" s="46"/>
      <c r="N360" s="48"/>
    </row>
    <row r="361" customFormat="false" ht="15.75" hidden="false" customHeight="false" outlineLevel="0" collapsed="false">
      <c r="G361" s="46"/>
      <c r="H361" s="46"/>
      <c r="L361" s="46"/>
      <c r="N361" s="48"/>
    </row>
    <row r="362" customFormat="false" ht="15.75" hidden="false" customHeight="false" outlineLevel="0" collapsed="false">
      <c r="G362" s="46"/>
      <c r="H362" s="46"/>
      <c r="L362" s="46"/>
      <c r="N362" s="48"/>
    </row>
    <row r="363" customFormat="false" ht="15.75" hidden="false" customHeight="false" outlineLevel="0" collapsed="false">
      <c r="G363" s="46"/>
      <c r="H363" s="46"/>
      <c r="L363" s="46"/>
      <c r="N363" s="48"/>
    </row>
    <row r="364" customFormat="false" ht="15.75" hidden="false" customHeight="false" outlineLevel="0" collapsed="false">
      <c r="G364" s="46"/>
      <c r="H364" s="46"/>
      <c r="L364" s="46"/>
      <c r="N364" s="48"/>
    </row>
    <row r="365" customFormat="false" ht="15.75" hidden="false" customHeight="false" outlineLevel="0" collapsed="false">
      <c r="G365" s="46"/>
      <c r="H365" s="46"/>
      <c r="L365" s="46"/>
      <c r="N365" s="48"/>
    </row>
    <row r="366" customFormat="false" ht="15.75" hidden="false" customHeight="false" outlineLevel="0" collapsed="false">
      <c r="G366" s="46"/>
      <c r="H366" s="46"/>
      <c r="L366" s="46"/>
      <c r="N366" s="48"/>
    </row>
    <row r="367" customFormat="false" ht="15.75" hidden="false" customHeight="false" outlineLevel="0" collapsed="false">
      <c r="G367" s="46"/>
      <c r="H367" s="46"/>
      <c r="L367" s="46"/>
      <c r="N367" s="48"/>
    </row>
    <row r="368" customFormat="false" ht="15.75" hidden="false" customHeight="false" outlineLevel="0" collapsed="false">
      <c r="G368" s="46"/>
      <c r="H368" s="46"/>
      <c r="L368" s="46"/>
      <c r="N368" s="48"/>
    </row>
    <row r="369" customFormat="false" ht="15.75" hidden="false" customHeight="false" outlineLevel="0" collapsed="false">
      <c r="G369" s="46"/>
      <c r="H369" s="46"/>
      <c r="L369" s="46"/>
      <c r="N369" s="48"/>
    </row>
    <row r="370" customFormat="false" ht="15.75" hidden="false" customHeight="false" outlineLevel="0" collapsed="false">
      <c r="G370" s="46"/>
      <c r="H370" s="46"/>
      <c r="L370" s="46"/>
      <c r="N370" s="48"/>
    </row>
    <row r="371" customFormat="false" ht="15.75" hidden="false" customHeight="false" outlineLevel="0" collapsed="false">
      <c r="G371" s="46"/>
      <c r="H371" s="46"/>
      <c r="L371" s="46"/>
      <c r="N371" s="48"/>
    </row>
    <row r="372" customFormat="false" ht="15.75" hidden="false" customHeight="false" outlineLevel="0" collapsed="false">
      <c r="G372" s="46"/>
      <c r="H372" s="46"/>
      <c r="L372" s="46"/>
      <c r="N372" s="48"/>
    </row>
    <row r="373" customFormat="false" ht="15.75" hidden="false" customHeight="false" outlineLevel="0" collapsed="false">
      <c r="G373" s="46"/>
      <c r="H373" s="46"/>
      <c r="L373" s="46"/>
      <c r="N373" s="48"/>
    </row>
    <row r="374" customFormat="false" ht="15.75" hidden="false" customHeight="false" outlineLevel="0" collapsed="false">
      <c r="G374" s="46"/>
      <c r="H374" s="46"/>
      <c r="L374" s="46"/>
      <c r="N374" s="48"/>
    </row>
    <row r="375" customFormat="false" ht="15.75" hidden="false" customHeight="false" outlineLevel="0" collapsed="false">
      <c r="G375" s="46"/>
      <c r="H375" s="46"/>
      <c r="L375" s="46"/>
      <c r="N375" s="48"/>
    </row>
    <row r="376" customFormat="false" ht="15.75" hidden="false" customHeight="false" outlineLevel="0" collapsed="false">
      <c r="G376" s="46"/>
      <c r="H376" s="46"/>
      <c r="L376" s="46"/>
      <c r="N376" s="48"/>
    </row>
    <row r="377" customFormat="false" ht="15.75" hidden="false" customHeight="false" outlineLevel="0" collapsed="false">
      <c r="G377" s="46"/>
      <c r="H377" s="46"/>
      <c r="L377" s="46"/>
      <c r="N377" s="48"/>
    </row>
    <row r="378" customFormat="false" ht="15.75" hidden="false" customHeight="false" outlineLevel="0" collapsed="false">
      <c r="G378" s="46"/>
      <c r="H378" s="46"/>
      <c r="L378" s="46"/>
      <c r="N378" s="48"/>
    </row>
    <row r="379" customFormat="false" ht="15.75" hidden="false" customHeight="false" outlineLevel="0" collapsed="false">
      <c r="G379" s="46"/>
      <c r="H379" s="46"/>
      <c r="L379" s="46"/>
      <c r="N379" s="48"/>
    </row>
    <row r="380" customFormat="false" ht="15.75" hidden="false" customHeight="false" outlineLevel="0" collapsed="false">
      <c r="G380" s="46"/>
      <c r="H380" s="46"/>
      <c r="L380" s="46"/>
      <c r="N380" s="48"/>
    </row>
    <row r="381" customFormat="false" ht="15.75" hidden="false" customHeight="false" outlineLevel="0" collapsed="false">
      <c r="G381" s="46"/>
      <c r="H381" s="46"/>
      <c r="L381" s="46"/>
      <c r="N381" s="48"/>
    </row>
    <row r="382" customFormat="false" ht="15.75" hidden="false" customHeight="false" outlineLevel="0" collapsed="false">
      <c r="G382" s="46"/>
      <c r="H382" s="46"/>
      <c r="L382" s="46"/>
      <c r="N382" s="48"/>
    </row>
    <row r="383" customFormat="false" ht="15.75" hidden="false" customHeight="false" outlineLevel="0" collapsed="false">
      <c r="G383" s="46"/>
      <c r="H383" s="46"/>
      <c r="L383" s="46"/>
      <c r="N383" s="48"/>
    </row>
    <row r="384" customFormat="false" ht="15.75" hidden="false" customHeight="false" outlineLevel="0" collapsed="false">
      <c r="G384" s="46"/>
      <c r="H384" s="46"/>
      <c r="L384" s="46"/>
      <c r="N384" s="48"/>
    </row>
    <row r="385" customFormat="false" ht="15.75" hidden="false" customHeight="false" outlineLevel="0" collapsed="false">
      <c r="G385" s="46"/>
      <c r="H385" s="46"/>
      <c r="L385" s="46"/>
      <c r="N385" s="48"/>
    </row>
    <row r="386" customFormat="false" ht="15.75" hidden="false" customHeight="false" outlineLevel="0" collapsed="false">
      <c r="G386" s="46"/>
      <c r="H386" s="46"/>
      <c r="L386" s="46"/>
      <c r="N386" s="48"/>
    </row>
    <row r="387" customFormat="false" ht="15.75" hidden="false" customHeight="false" outlineLevel="0" collapsed="false">
      <c r="G387" s="46"/>
      <c r="H387" s="46"/>
      <c r="L387" s="46"/>
      <c r="N387" s="48"/>
    </row>
    <row r="388" customFormat="false" ht="15.75" hidden="false" customHeight="false" outlineLevel="0" collapsed="false">
      <c r="G388" s="46"/>
      <c r="H388" s="46"/>
      <c r="L388" s="46"/>
      <c r="N388" s="48"/>
    </row>
    <row r="389" customFormat="false" ht="15.75" hidden="false" customHeight="false" outlineLevel="0" collapsed="false">
      <c r="G389" s="46"/>
      <c r="H389" s="46"/>
      <c r="L389" s="46"/>
      <c r="N389" s="48"/>
    </row>
    <row r="390" customFormat="false" ht="15.75" hidden="false" customHeight="false" outlineLevel="0" collapsed="false">
      <c r="G390" s="46"/>
      <c r="H390" s="46"/>
      <c r="L390" s="46"/>
      <c r="N390" s="48"/>
    </row>
    <row r="391" customFormat="false" ht="15.75" hidden="false" customHeight="false" outlineLevel="0" collapsed="false">
      <c r="G391" s="46"/>
      <c r="H391" s="46"/>
      <c r="L391" s="46"/>
      <c r="N391" s="48"/>
    </row>
    <row r="392" customFormat="false" ht="15.75" hidden="false" customHeight="false" outlineLevel="0" collapsed="false">
      <c r="G392" s="46"/>
      <c r="H392" s="46"/>
      <c r="L392" s="46"/>
      <c r="N392" s="48"/>
    </row>
    <row r="393" customFormat="false" ht="15.75" hidden="false" customHeight="false" outlineLevel="0" collapsed="false">
      <c r="G393" s="46"/>
      <c r="H393" s="46"/>
      <c r="L393" s="46"/>
      <c r="N393" s="48"/>
    </row>
    <row r="394" customFormat="false" ht="15.75" hidden="false" customHeight="false" outlineLevel="0" collapsed="false">
      <c r="G394" s="46"/>
      <c r="H394" s="46"/>
      <c r="L394" s="46"/>
      <c r="N394" s="48"/>
    </row>
    <row r="395" customFormat="false" ht="15.75" hidden="false" customHeight="false" outlineLevel="0" collapsed="false">
      <c r="G395" s="46"/>
      <c r="H395" s="46"/>
      <c r="L395" s="46"/>
      <c r="N395" s="48"/>
    </row>
    <row r="396" customFormat="false" ht="15.75" hidden="false" customHeight="false" outlineLevel="0" collapsed="false">
      <c r="G396" s="46"/>
      <c r="H396" s="46"/>
      <c r="L396" s="46"/>
      <c r="N396" s="48"/>
    </row>
    <row r="397" customFormat="false" ht="15.75" hidden="false" customHeight="false" outlineLevel="0" collapsed="false">
      <c r="G397" s="46"/>
      <c r="H397" s="46"/>
      <c r="L397" s="46"/>
      <c r="N397" s="48"/>
    </row>
    <row r="398" customFormat="false" ht="15.75" hidden="false" customHeight="false" outlineLevel="0" collapsed="false">
      <c r="G398" s="46"/>
      <c r="H398" s="46"/>
      <c r="L398" s="46"/>
      <c r="N398" s="48"/>
    </row>
    <row r="399" customFormat="false" ht="15.75" hidden="false" customHeight="false" outlineLevel="0" collapsed="false">
      <c r="G399" s="46"/>
      <c r="H399" s="46"/>
      <c r="L399" s="46"/>
      <c r="N399" s="48"/>
    </row>
    <row r="400" customFormat="false" ht="15.75" hidden="false" customHeight="false" outlineLevel="0" collapsed="false">
      <c r="G400" s="46"/>
      <c r="H400" s="46"/>
      <c r="L400" s="46"/>
      <c r="N400" s="48"/>
    </row>
    <row r="401" customFormat="false" ht="15.75" hidden="false" customHeight="false" outlineLevel="0" collapsed="false">
      <c r="G401" s="46"/>
      <c r="H401" s="46"/>
      <c r="L401" s="46"/>
      <c r="N401" s="48"/>
    </row>
    <row r="402" customFormat="false" ht="15.75" hidden="false" customHeight="false" outlineLevel="0" collapsed="false">
      <c r="G402" s="46"/>
      <c r="H402" s="46"/>
      <c r="L402" s="46"/>
      <c r="N402" s="48"/>
    </row>
    <row r="403" customFormat="false" ht="15.75" hidden="false" customHeight="false" outlineLevel="0" collapsed="false">
      <c r="G403" s="46"/>
      <c r="H403" s="46"/>
      <c r="L403" s="46"/>
      <c r="N403" s="48"/>
    </row>
    <row r="404" customFormat="false" ht="15.75" hidden="false" customHeight="false" outlineLevel="0" collapsed="false">
      <c r="G404" s="46"/>
      <c r="H404" s="46"/>
      <c r="L404" s="46"/>
      <c r="N404" s="48"/>
    </row>
    <row r="405" customFormat="false" ht="15.75" hidden="false" customHeight="false" outlineLevel="0" collapsed="false">
      <c r="G405" s="46"/>
      <c r="H405" s="46"/>
      <c r="L405" s="46"/>
      <c r="N405" s="48"/>
    </row>
    <row r="406" customFormat="false" ht="15.75" hidden="false" customHeight="false" outlineLevel="0" collapsed="false">
      <c r="G406" s="46"/>
      <c r="H406" s="46"/>
      <c r="L406" s="46"/>
      <c r="N406" s="48"/>
    </row>
    <row r="407" customFormat="false" ht="15.75" hidden="false" customHeight="false" outlineLevel="0" collapsed="false">
      <c r="G407" s="46"/>
      <c r="H407" s="46"/>
      <c r="L407" s="46"/>
      <c r="N407" s="48"/>
    </row>
    <row r="408" customFormat="false" ht="15.75" hidden="false" customHeight="false" outlineLevel="0" collapsed="false">
      <c r="G408" s="46"/>
      <c r="H408" s="46"/>
      <c r="L408" s="46"/>
      <c r="N408" s="48"/>
    </row>
    <row r="409" customFormat="false" ht="15.75" hidden="false" customHeight="false" outlineLevel="0" collapsed="false">
      <c r="G409" s="46"/>
      <c r="H409" s="46"/>
      <c r="L409" s="46"/>
      <c r="N409" s="48"/>
    </row>
    <row r="410" customFormat="false" ht="15.75" hidden="false" customHeight="false" outlineLevel="0" collapsed="false">
      <c r="G410" s="46"/>
      <c r="H410" s="46"/>
      <c r="L410" s="46"/>
      <c r="N410" s="48"/>
    </row>
    <row r="411" customFormat="false" ht="15.75" hidden="false" customHeight="false" outlineLevel="0" collapsed="false">
      <c r="G411" s="46"/>
      <c r="H411" s="46"/>
      <c r="L411" s="46"/>
      <c r="N411" s="48"/>
    </row>
    <row r="412" customFormat="false" ht="15.75" hidden="false" customHeight="false" outlineLevel="0" collapsed="false">
      <c r="G412" s="46"/>
      <c r="H412" s="46"/>
      <c r="L412" s="46"/>
      <c r="N412" s="48"/>
    </row>
    <row r="413" customFormat="false" ht="15.75" hidden="false" customHeight="false" outlineLevel="0" collapsed="false">
      <c r="G413" s="46"/>
      <c r="H413" s="46"/>
      <c r="L413" s="46"/>
      <c r="N413" s="48"/>
    </row>
    <row r="414" customFormat="false" ht="15.75" hidden="false" customHeight="false" outlineLevel="0" collapsed="false">
      <c r="G414" s="46"/>
      <c r="H414" s="46"/>
      <c r="L414" s="46"/>
      <c r="N414" s="48"/>
    </row>
    <row r="415" customFormat="false" ht="15.75" hidden="false" customHeight="false" outlineLevel="0" collapsed="false">
      <c r="G415" s="46"/>
      <c r="H415" s="46"/>
      <c r="L415" s="46"/>
      <c r="N415" s="48"/>
    </row>
    <row r="416" customFormat="false" ht="15.75" hidden="false" customHeight="false" outlineLevel="0" collapsed="false">
      <c r="G416" s="46"/>
      <c r="H416" s="46"/>
      <c r="L416" s="46"/>
      <c r="N416" s="48"/>
    </row>
    <row r="417" customFormat="false" ht="15.75" hidden="false" customHeight="false" outlineLevel="0" collapsed="false">
      <c r="G417" s="46"/>
      <c r="H417" s="46"/>
      <c r="L417" s="46"/>
      <c r="N417" s="48"/>
    </row>
    <row r="418" customFormat="false" ht="15.75" hidden="false" customHeight="false" outlineLevel="0" collapsed="false">
      <c r="G418" s="46"/>
      <c r="H418" s="46"/>
      <c r="L418" s="46"/>
      <c r="N418" s="48"/>
    </row>
    <row r="419" customFormat="false" ht="15.75" hidden="false" customHeight="false" outlineLevel="0" collapsed="false">
      <c r="G419" s="46"/>
      <c r="H419" s="46"/>
      <c r="L419" s="46"/>
      <c r="N419" s="48"/>
    </row>
    <row r="420" customFormat="false" ht="15.75" hidden="false" customHeight="false" outlineLevel="0" collapsed="false">
      <c r="G420" s="46"/>
      <c r="H420" s="46"/>
      <c r="L420" s="46"/>
      <c r="N420" s="48"/>
    </row>
    <row r="421" customFormat="false" ht="15.75" hidden="false" customHeight="false" outlineLevel="0" collapsed="false">
      <c r="G421" s="46"/>
      <c r="H421" s="46"/>
      <c r="L421" s="46"/>
      <c r="N421" s="48"/>
    </row>
    <row r="422" customFormat="false" ht="15.75" hidden="false" customHeight="false" outlineLevel="0" collapsed="false">
      <c r="G422" s="46"/>
      <c r="H422" s="46"/>
      <c r="L422" s="46"/>
      <c r="N422" s="48"/>
    </row>
    <row r="423" customFormat="false" ht="15.75" hidden="false" customHeight="false" outlineLevel="0" collapsed="false">
      <c r="G423" s="46"/>
      <c r="H423" s="46"/>
      <c r="L423" s="46"/>
      <c r="N423" s="48"/>
    </row>
    <row r="424" customFormat="false" ht="15.75" hidden="false" customHeight="false" outlineLevel="0" collapsed="false">
      <c r="G424" s="46"/>
      <c r="H424" s="46"/>
      <c r="L424" s="46"/>
      <c r="N424" s="48"/>
    </row>
    <row r="425" customFormat="false" ht="15.75" hidden="false" customHeight="false" outlineLevel="0" collapsed="false">
      <c r="G425" s="46"/>
      <c r="H425" s="46"/>
      <c r="L425" s="46"/>
      <c r="N425" s="48"/>
    </row>
    <row r="426" customFormat="false" ht="15.75" hidden="false" customHeight="false" outlineLevel="0" collapsed="false">
      <c r="G426" s="46"/>
      <c r="H426" s="46"/>
      <c r="L426" s="46"/>
      <c r="N426" s="48"/>
    </row>
    <row r="427" customFormat="false" ht="15.75" hidden="false" customHeight="false" outlineLevel="0" collapsed="false">
      <c r="G427" s="46"/>
      <c r="H427" s="46"/>
      <c r="L427" s="46"/>
      <c r="N427" s="48"/>
    </row>
    <row r="428" customFormat="false" ht="15.75" hidden="false" customHeight="false" outlineLevel="0" collapsed="false">
      <c r="G428" s="46"/>
      <c r="H428" s="46"/>
      <c r="L428" s="46"/>
      <c r="N428" s="48"/>
    </row>
    <row r="429" customFormat="false" ht="15.75" hidden="false" customHeight="false" outlineLevel="0" collapsed="false">
      <c r="G429" s="46"/>
      <c r="H429" s="46"/>
      <c r="L429" s="46"/>
      <c r="N429" s="48"/>
    </row>
    <row r="430" customFormat="false" ht="15.75" hidden="false" customHeight="false" outlineLevel="0" collapsed="false">
      <c r="G430" s="46"/>
      <c r="H430" s="46"/>
      <c r="L430" s="46"/>
      <c r="N430" s="48"/>
    </row>
    <row r="431" customFormat="false" ht="15.75" hidden="false" customHeight="false" outlineLevel="0" collapsed="false">
      <c r="G431" s="46"/>
      <c r="H431" s="46"/>
      <c r="L431" s="46"/>
      <c r="N431" s="48"/>
    </row>
    <row r="432" customFormat="false" ht="15.75" hidden="false" customHeight="false" outlineLevel="0" collapsed="false">
      <c r="G432" s="46"/>
      <c r="H432" s="46"/>
      <c r="L432" s="46"/>
      <c r="N432" s="48"/>
    </row>
    <row r="433" customFormat="false" ht="15.75" hidden="false" customHeight="false" outlineLevel="0" collapsed="false">
      <c r="G433" s="46"/>
      <c r="H433" s="46"/>
      <c r="L433" s="46"/>
      <c r="N433" s="48"/>
    </row>
    <row r="434" customFormat="false" ht="15.75" hidden="false" customHeight="false" outlineLevel="0" collapsed="false">
      <c r="G434" s="46"/>
      <c r="H434" s="46"/>
      <c r="L434" s="46"/>
      <c r="N434" s="48"/>
    </row>
    <row r="435" customFormat="false" ht="15.75" hidden="false" customHeight="false" outlineLevel="0" collapsed="false">
      <c r="G435" s="46"/>
      <c r="H435" s="46"/>
      <c r="L435" s="46"/>
      <c r="N435" s="48"/>
    </row>
    <row r="436" customFormat="false" ht="15.75" hidden="false" customHeight="false" outlineLevel="0" collapsed="false">
      <c r="G436" s="46"/>
      <c r="H436" s="46"/>
      <c r="L436" s="46"/>
      <c r="N436" s="48"/>
    </row>
    <row r="437" customFormat="false" ht="15.75" hidden="false" customHeight="false" outlineLevel="0" collapsed="false">
      <c r="G437" s="46"/>
      <c r="H437" s="46"/>
      <c r="L437" s="46"/>
      <c r="N437" s="48"/>
    </row>
    <row r="438" customFormat="false" ht="15.75" hidden="false" customHeight="false" outlineLevel="0" collapsed="false">
      <c r="G438" s="46"/>
      <c r="H438" s="46"/>
      <c r="L438" s="46"/>
      <c r="N438" s="48"/>
    </row>
    <row r="439" customFormat="false" ht="15.75" hidden="false" customHeight="false" outlineLevel="0" collapsed="false">
      <c r="G439" s="46"/>
      <c r="H439" s="46"/>
      <c r="L439" s="46"/>
      <c r="N439" s="48"/>
    </row>
    <row r="440" customFormat="false" ht="15.75" hidden="false" customHeight="false" outlineLevel="0" collapsed="false">
      <c r="G440" s="46"/>
      <c r="H440" s="46"/>
      <c r="L440" s="46"/>
      <c r="N440" s="48"/>
    </row>
    <row r="441" customFormat="false" ht="15.75" hidden="false" customHeight="false" outlineLevel="0" collapsed="false">
      <c r="G441" s="46"/>
      <c r="H441" s="46"/>
      <c r="L441" s="46"/>
      <c r="N441" s="48"/>
    </row>
    <row r="442" customFormat="false" ht="15.75" hidden="false" customHeight="false" outlineLevel="0" collapsed="false">
      <c r="G442" s="46"/>
      <c r="H442" s="46"/>
      <c r="L442" s="46"/>
      <c r="N442" s="48"/>
    </row>
    <row r="443" customFormat="false" ht="15.75" hidden="false" customHeight="false" outlineLevel="0" collapsed="false">
      <c r="G443" s="46"/>
      <c r="H443" s="46"/>
      <c r="L443" s="46"/>
      <c r="N443" s="48"/>
    </row>
    <row r="444" customFormat="false" ht="15.75" hidden="false" customHeight="false" outlineLevel="0" collapsed="false">
      <c r="G444" s="46"/>
      <c r="H444" s="46"/>
      <c r="L444" s="46"/>
      <c r="N444" s="48"/>
    </row>
    <row r="445" customFormat="false" ht="15.75" hidden="false" customHeight="false" outlineLevel="0" collapsed="false">
      <c r="G445" s="46"/>
      <c r="H445" s="46"/>
      <c r="L445" s="46"/>
      <c r="N445" s="48"/>
    </row>
    <row r="446" customFormat="false" ht="15.75" hidden="false" customHeight="false" outlineLevel="0" collapsed="false">
      <c r="G446" s="46"/>
      <c r="H446" s="46"/>
      <c r="L446" s="46"/>
      <c r="N446" s="48"/>
    </row>
    <row r="447" customFormat="false" ht="15.75" hidden="false" customHeight="false" outlineLevel="0" collapsed="false">
      <c r="G447" s="46"/>
      <c r="H447" s="46"/>
      <c r="L447" s="46"/>
      <c r="N447" s="48"/>
    </row>
    <row r="448" customFormat="false" ht="15.75" hidden="false" customHeight="false" outlineLevel="0" collapsed="false">
      <c r="G448" s="46"/>
      <c r="H448" s="46"/>
      <c r="L448" s="46"/>
      <c r="N448" s="48"/>
    </row>
    <row r="449" customFormat="false" ht="15.75" hidden="false" customHeight="false" outlineLevel="0" collapsed="false">
      <c r="G449" s="46"/>
      <c r="H449" s="46"/>
      <c r="L449" s="46"/>
      <c r="N449" s="48"/>
    </row>
    <row r="450" customFormat="false" ht="15.75" hidden="false" customHeight="false" outlineLevel="0" collapsed="false">
      <c r="G450" s="46"/>
      <c r="H450" s="46"/>
      <c r="L450" s="46"/>
      <c r="N450" s="48"/>
    </row>
    <row r="451" customFormat="false" ht="15.75" hidden="false" customHeight="false" outlineLevel="0" collapsed="false">
      <c r="G451" s="46"/>
      <c r="H451" s="46"/>
      <c r="L451" s="46"/>
      <c r="N451" s="48"/>
    </row>
    <row r="452" customFormat="false" ht="15.75" hidden="false" customHeight="false" outlineLevel="0" collapsed="false">
      <c r="G452" s="46"/>
      <c r="H452" s="46"/>
      <c r="L452" s="46"/>
      <c r="N452" s="48"/>
    </row>
    <row r="453" customFormat="false" ht="15.75" hidden="false" customHeight="false" outlineLevel="0" collapsed="false">
      <c r="G453" s="46"/>
      <c r="H453" s="46"/>
      <c r="L453" s="46"/>
      <c r="N453" s="48"/>
    </row>
    <row r="454" customFormat="false" ht="15.75" hidden="false" customHeight="false" outlineLevel="0" collapsed="false">
      <c r="G454" s="46"/>
      <c r="H454" s="46"/>
      <c r="L454" s="46"/>
      <c r="N454" s="48"/>
    </row>
    <row r="455" customFormat="false" ht="15.75" hidden="false" customHeight="false" outlineLevel="0" collapsed="false">
      <c r="G455" s="46"/>
      <c r="H455" s="46"/>
      <c r="L455" s="46"/>
      <c r="N455" s="48"/>
    </row>
    <row r="456" customFormat="false" ht="15.75" hidden="false" customHeight="false" outlineLevel="0" collapsed="false">
      <c r="G456" s="46"/>
      <c r="H456" s="46"/>
      <c r="L456" s="46"/>
      <c r="N456" s="48"/>
    </row>
    <row r="457" customFormat="false" ht="15.75" hidden="false" customHeight="false" outlineLevel="0" collapsed="false">
      <c r="G457" s="46"/>
      <c r="H457" s="46"/>
      <c r="L457" s="46"/>
      <c r="N457" s="48"/>
    </row>
    <row r="458" customFormat="false" ht="15.75" hidden="false" customHeight="false" outlineLevel="0" collapsed="false">
      <c r="G458" s="46"/>
      <c r="H458" s="46"/>
      <c r="L458" s="46"/>
      <c r="N458" s="48"/>
    </row>
    <row r="459" customFormat="false" ht="15.75" hidden="false" customHeight="false" outlineLevel="0" collapsed="false">
      <c r="G459" s="46"/>
      <c r="H459" s="46"/>
      <c r="L459" s="46"/>
      <c r="N459" s="48"/>
    </row>
    <row r="460" customFormat="false" ht="15.75" hidden="false" customHeight="false" outlineLevel="0" collapsed="false">
      <c r="G460" s="46"/>
      <c r="H460" s="46"/>
      <c r="L460" s="46"/>
      <c r="N460" s="48"/>
    </row>
    <row r="461" customFormat="false" ht="15.75" hidden="false" customHeight="false" outlineLevel="0" collapsed="false">
      <c r="G461" s="46"/>
      <c r="H461" s="46"/>
      <c r="L461" s="46"/>
      <c r="N461" s="48"/>
    </row>
    <row r="462" customFormat="false" ht="15.75" hidden="false" customHeight="false" outlineLevel="0" collapsed="false">
      <c r="G462" s="46"/>
      <c r="H462" s="46"/>
      <c r="L462" s="46"/>
      <c r="N462" s="48"/>
    </row>
    <row r="463" customFormat="false" ht="15.75" hidden="false" customHeight="false" outlineLevel="0" collapsed="false">
      <c r="G463" s="46"/>
      <c r="H463" s="46"/>
      <c r="L463" s="46"/>
      <c r="N463" s="48"/>
    </row>
    <row r="464" customFormat="false" ht="15.75" hidden="false" customHeight="false" outlineLevel="0" collapsed="false">
      <c r="G464" s="46"/>
      <c r="H464" s="46"/>
      <c r="L464" s="46"/>
      <c r="N464" s="48"/>
    </row>
    <row r="465" customFormat="false" ht="15.75" hidden="false" customHeight="false" outlineLevel="0" collapsed="false">
      <c r="G465" s="46"/>
      <c r="H465" s="46"/>
      <c r="L465" s="46"/>
      <c r="N465" s="48"/>
    </row>
    <row r="466" customFormat="false" ht="15.75" hidden="false" customHeight="false" outlineLevel="0" collapsed="false">
      <c r="G466" s="46"/>
      <c r="H466" s="46"/>
      <c r="L466" s="46"/>
      <c r="N466" s="48"/>
    </row>
    <row r="467" customFormat="false" ht="15.75" hidden="false" customHeight="false" outlineLevel="0" collapsed="false">
      <c r="G467" s="46"/>
      <c r="H467" s="46"/>
      <c r="L467" s="46"/>
      <c r="N467" s="48"/>
    </row>
    <row r="468" customFormat="false" ht="15.75" hidden="false" customHeight="false" outlineLevel="0" collapsed="false">
      <c r="G468" s="46"/>
      <c r="H468" s="46"/>
      <c r="L468" s="46"/>
      <c r="N468" s="48"/>
    </row>
    <row r="469" customFormat="false" ht="15.75" hidden="false" customHeight="false" outlineLevel="0" collapsed="false">
      <c r="G469" s="46"/>
      <c r="H469" s="46"/>
      <c r="L469" s="46"/>
      <c r="N469" s="48"/>
    </row>
    <row r="470" customFormat="false" ht="15.75" hidden="false" customHeight="false" outlineLevel="0" collapsed="false">
      <c r="G470" s="46"/>
      <c r="H470" s="46"/>
      <c r="L470" s="46"/>
      <c r="N470" s="48"/>
    </row>
    <row r="471" customFormat="false" ht="15.75" hidden="false" customHeight="false" outlineLevel="0" collapsed="false">
      <c r="G471" s="46"/>
      <c r="H471" s="46"/>
      <c r="L471" s="46"/>
      <c r="N471" s="48"/>
    </row>
    <row r="472" customFormat="false" ht="15.75" hidden="false" customHeight="false" outlineLevel="0" collapsed="false">
      <c r="G472" s="46"/>
      <c r="H472" s="46"/>
      <c r="L472" s="46"/>
      <c r="N472" s="48"/>
    </row>
    <row r="473" customFormat="false" ht="15.75" hidden="false" customHeight="false" outlineLevel="0" collapsed="false">
      <c r="G473" s="46"/>
      <c r="H473" s="46"/>
      <c r="L473" s="46"/>
      <c r="N473" s="48"/>
    </row>
    <row r="474" customFormat="false" ht="15.75" hidden="false" customHeight="false" outlineLevel="0" collapsed="false">
      <c r="G474" s="46"/>
      <c r="H474" s="46"/>
      <c r="L474" s="46"/>
      <c r="N474" s="48"/>
    </row>
    <row r="475" customFormat="false" ht="15.75" hidden="false" customHeight="false" outlineLevel="0" collapsed="false">
      <c r="G475" s="46"/>
      <c r="H475" s="46"/>
      <c r="L475" s="46"/>
      <c r="N475" s="48"/>
    </row>
    <row r="476" customFormat="false" ht="15.75" hidden="false" customHeight="false" outlineLevel="0" collapsed="false">
      <c r="G476" s="46"/>
      <c r="H476" s="46"/>
      <c r="L476" s="46"/>
      <c r="N476" s="48"/>
    </row>
    <row r="477" customFormat="false" ht="15.75" hidden="false" customHeight="false" outlineLevel="0" collapsed="false">
      <c r="G477" s="46"/>
      <c r="H477" s="46"/>
      <c r="L477" s="46"/>
      <c r="N477" s="48"/>
    </row>
    <row r="478" customFormat="false" ht="15.75" hidden="false" customHeight="false" outlineLevel="0" collapsed="false">
      <c r="G478" s="46"/>
      <c r="H478" s="46"/>
      <c r="L478" s="46"/>
      <c r="N478" s="48"/>
    </row>
    <row r="479" customFormat="false" ht="15.75" hidden="false" customHeight="false" outlineLevel="0" collapsed="false">
      <c r="G479" s="46"/>
      <c r="H479" s="46"/>
      <c r="L479" s="46"/>
      <c r="N479" s="48"/>
    </row>
    <row r="480" customFormat="false" ht="15.75" hidden="false" customHeight="false" outlineLevel="0" collapsed="false">
      <c r="G480" s="46"/>
      <c r="H480" s="46"/>
      <c r="L480" s="46"/>
      <c r="N480" s="48"/>
    </row>
    <row r="481" customFormat="false" ht="15.75" hidden="false" customHeight="false" outlineLevel="0" collapsed="false">
      <c r="G481" s="46"/>
      <c r="H481" s="46"/>
      <c r="L481" s="46"/>
      <c r="N481" s="48"/>
    </row>
    <row r="482" customFormat="false" ht="15.75" hidden="false" customHeight="false" outlineLevel="0" collapsed="false">
      <c r="G482" s="46"/>
      <c r="H482" s="46"/>
      <c r="L482" s="46"/>
      <c r="N482" s="48"/>
    </row>
    <row r="483" customFormat="false" ht="15.75" hidden="false" customHeight="false" outlineLevel="0" collapsed="false">
      <c r="G483" s="46"/>
      <c r="H483" s="46"/>
      <c r="L483" s="46"/>
      <c r="N483" s="48"/>
    </row>
    <row r="484" customFormat="false" ht="15.75" hidden="false" customHeight="false" outlineLevel="0" collapsed="false">
      <c r="G484" s="46"/>
      <c r="H484" s="46"/>
      <c r="L484" s="46"/>
      <c r="N484" s="48"/>
    </row>
    <row r="485" customFormat="false" ht="15.75" hidden="false" customHeight="false" outlineLevel="0" collapsed="false">
      <c r="G485" s="46"/>
      <c r="H485" s="46"/>
      <c r="L485" s="46"/>
      <c r="N485" s="48"/>
    </row>
    <row r="486" customFormat="false" ht="15.75" hidden="false" customHeight="false" outlineLevel="0" collapsed="false">
      <c r="G486" s="46"/>
      <c r="H486" s="46"/>
      <c r="L486" s="46"/>
      <c r="N486" s="48"/>
    </row>
    <row r="487" customFormat="false" ht="15.75" hidden="false" customHeight="false" outlineLevel="0" collapsed="false">
      <c r="G487" s="46"/>
      <c r="H487" s="46"/>
      <c r="L487" s="46"/>
      <c r="N487" s="48"/>
    </row>
    <row r="488" customFormat="false" ht="15.75" hidden="false" customHeight="false" outlineLevel="0" collapsed="false">
      <c r="G488" s="46"/>
      <c r="H488" s="46"/>
      <c r="L488" s="46"/>
      <c r="N488" s="48"/>
    </row>
    <row r="489" customFormat="false" ht="15.75" hidden="false" customHeight="false" outlineLevel="0" collapsed="false">
      <c r="G489" s="46"/>
      <c r="H489" s="46"/>
      <c r="L489" s="46"/>
      <c r="N489" s="48"/>
    </row>
    <row r="490" customFormat="false" ht="15.75" hidden="false" customHeight="false" outlineLevel="0" collapsed="false">
      <c r="G490" s="46"/>
      <c r="H490" s="46"/>
      <c r="L490" s="46"/>
      <c r="N490" s="48"/>
    </row>
    <row r="491" customFormat="false" ht="15.75" hidden="false" customHeight="false" outlineLevel="0" collapsed="false">
      <c r="G491" s="46"/>
      <c r="H491" s="46"/>
      <c r="L491" s="46"/>
      <c r="N491" s="48"/>
    </row>
    <row r="492" customFormat="false" ht="15.75" hidden="false" customHeight="false" outlineLevel="0" collapsed="false">
      <c r="G492" s="46"/>
      <c r="H492" s="46"/>
      <c r="L492" s="46"/>
      <c r="N492" s="48"/>
    </row>
    <row r="493" customFormat="false" ht="15.75" hidden="false" customHeight="false" outlineLevel="0" collapsed="false">
      <c r="G493" s="46"/>
      <c r="H493" s="46"/>
      <c r="L493" s="46"/>
      <c r="N493" s="48"/>
    </row>
    <row r="494" customFormat="false" ht="15.75" hidden="false" customHeight="false" outlineLevel="0" collapsed="false">
      <c r="G494" s="46"/>
      <c r="H494" s="46"/>
      <c r="L494" s="46"/>
      <c r="N494" s="48"/>
    </row>
    <row r="495" customFormat="false" ht="15.75" hidden="false" customHeight="false" outlineLevel="0" collapsed="false">
      <c r="G495" s="46"/>
      <c r="H495" s="46"/>
      <c r="L495" s="46"/>
      <c r="N495" s="48"/>
    </row>
    <row r="496" customFormat="false" ht="15.75" hidden="false" customHeight="false" outlineLevel="0" collapsed="false">
      <c r="G496" s="46"/>
      <c r="H496" s="46"/>
      <c r="L496" s="46"/>
      <c r="N496" s="48"/>
    </row>
    <row r="497" customFormat="false" ht="15.75" hidden="false" customHeight="false" outlineLevel="0" collapsed="false">
      <c r="G497" s="46"/>
      <c r="H497" s="46"/>
      <c r="L497" s="46"/>
      <c r="N497" s="48"/>
    </row>
    <row r="498" customFormat="false" ht="15.75" hidden="false" customHeight="false" outlineLevel="0" collapsed="false">
      <c r="G498" s="46"/>
      <c r="H498" s="46"/>
      <c r="L498" s="46"/>
      <c r="N498" s="48"/>
    </row>
    <row r="499" customFormat="false" ht="15.75" hidden="false" customHeight="false" outlineLevel="0" collapsed="false">
      <c r="G499" s="46"/>
      <c r="H499" s="46"/>
      <c r="L499" s="46"/>
      <c r="N499" s="48"/>
    </row>
    <row r="500" customFormat="false" ht="15.75" hidden="false" customHeight="false" outlineLevel="0" collapsed="false">
      <c r="G500" s="46"/>
      <c r="H500" s="46"/>
      <c r="L500" s="46"/>
      <c r="N500" s="48"/>
    </row>
    <row r="501" customFormat="false" ht="15.75" hidden="false" customHeight="false" outlineLevel="0" collapsed="false">
      <c r="G501" s="46"/>
      <c r="H501" s="46"/>
      <c r="L501" s="46"/>
      <c r="N501" s="48"/>
    </row>
    <row r="502" customFormat="false" ht="15.75" hidden="false" customHeight="false" outlineLevel="0" collapsed="false">
      <c r="G502" s="46"/>
      <c r="H502" s="46"/>
      <c r="L502" s="46"/>
      <c r="N502" s="48"/>
    </row>
    <row r="503" customFormat="false" ht="15.75" hidden="false" customHeight="false" outlineLevel="0" collapsed="false">
      <c r="G503" s="46"/>
      <c r="H503" s="46"/>
      <c r="L503" s="46"/>
      <c r="N503" s="48"/>
    </row>
    <row r="504" customFormat="false" ht="15.75" hidden="false" customHeight="false" outlineLevel="0" collapsed="false">
      <c r="G504" s="46"/>
      <c r="H504" s="46"/>
      <c r="L504" s="46"/>
      <c r="N504" s="48"/>
    </row>
    <row r="505" customFormat="false" ht="15.75" hidden="false" customHeight="false" outlineLevel="0" collapsed="false">
      <c r="G505" s="46"/>
      <c r="H505" s="46"/>
      <c r="L505" s="46"/>
      <c r="N505" s="48"/>
    </row>
    <row r="506" customFormat="false" ht="15.75" hidden="false" customHeight="false" outlineLevel="0" collapsed="false">
      <c r="G506" s="46"/>
      <c r="H506" s="46"/>
      <c r="L506" s="46"/>
      <c r="N506" s="48"/>
    </row>
    <row r="507" customFormat="false" ht="15.75" hidden="false" customHeight="false" outlineLevel="0" collapsed="false">
      <c r="G507" s="46"/>
      <c r="H507" s="46"/>
      <c r="L507" s="46"/>
      <c r="N507" s="48"/>
    </row>
    <row r="508" customFormat="false" ht="15.75" hidden="false" customHeight="false" outlineLevel="0" collapsed="false">
      <c r="G508" s="46"/>
      <c r="H508" s="46"/>
      <c r="L508" s="46"/>
      <c r="N508" s="48"/>
    </row>
    <row r="509" customFormat="false" ht="15.75" hidden="false" customHeight="false" outlineLevel="0" collapsed="false">
      <c r="G509" s="46"/>
      <c r="H509" s="46"/>
      <c r="L509" s="46"/>
      <c r="N509" s="48"/>
    </row>
    <row r="510" customFormat="false" ht="15.75" hidden="false" customHeight="false" outlineLevel="0" collapsed="false">
      <c r="G510" s="46"/>
      <c r="H510" s="46"/>
      <c r="L510" s="46"/>
      <c r="N510" s="48"/>
    </row>
    <row r="511" customFormat="false" ht="15.75" hidden="false" customHeight="false" outlineLevel="0" collapsed="false">
      <c r="G511" s="46"/>
      <c r="H511" s="46"/>
      <c r="L511" s="46"/>
      <c r="N511" s="48"/>
    </row>
    <row r="512" customFormat="false" ht="15.75" hidden="false" customHeight="false" outlineLevel="0" collapsed="false">
      <c r="G512" s="46"/>
      <c r="H512" s="46"/>
      <c r="L512" s="46"/>
      <c r="N512" s="48"/>
    </row>
    <row r="513" customFormat="false" ht="15.75" hidden="false" customHeight="false" outlineLevel="0" collapsed="false">
      <c r="G513" s="46"/>
      <c r="H513" s="46"/>
      <c r="L513" s="46"/>
      <c r="N513" s="48"/>
    </row>
    <row r="514" customFormat="false" ht="15.75" hidden="false" customHeight="false" outlineLevel="0" collapsed="false">
      <c r="G514" s="46"/>
      <c r="H514" s="46"/>
      <c r="L514" s="46"/>
      <c r="N514" s="48"/>
    </row>
    <row r="515" customFormat="false" ht="15.75" hidden="false" customHeight="false" outlineLevel="0" collapsed="false">
      <c r="G515" s="46"/>
      <c r="H515" s="46"/>
      <c r="L515" s="46"/>
      <c r="N515" s="48"/>
    </row>
    <row r="516" customFormat="false" ht="15.75" hidden="false" customHeight="false" outlineLevel="0" collapsed="false">
      <c r="G516" s="46"/>
      <c r="H516" s="46"/>
      <c r="L516" s="46"/>
      <c r="N516" s="48"/>
    </row>
    <row r="517" customFormat="false" ht="15.75" hidden="false" customHeight="false" outlineLevel="0" collapsed="false">
      <c r="G517" s="46"/>
      <c r="H517" s="46"/>
      <c r="L517" s="46"/>
      <c r="N517" s="48"/>
    </row>
    <row r="518" customFormat="false" ht="15.75" hidden="false" customHeight="false" outlineLevel="0" collapsed="false">
      <c r="G518" s="46"/>
      <c r="H518" s="46"/>
      <c r="L518" s="46"/>
      <c r="N518" s="48"/>
    </row>
    <row r="519" customFormat="false" ht="15.75" hidden="false" customHeight="false" outlineLevel="0" collapsed="false">
      <c r="G519" s="46"/>
      <c r="H519" s="46"/>
      <c r="L519" s="46"/>
      <c r="N519" s="48"/>
    </row>
    <row r="520" customFormat="false" ht="15.75" hidden="false" customHeight="false" outlineLevel="0" collapsed="false">
      <c r="G520" s="46"/>
      <c r="H520" s="46"/>
      <c r="L520" s="46"/>
      <c r="N520" s="48"/>
    </row>
    <row r="521" customFormat="false" ht="15.75" hidden="false" customHeight="false" outlineLevel="0" collapsed="false">
      <c r="G521" s="46"/>
      <c r="H521" s="46"/>
      <c r="L521" s="46"/>
      <c r="N521" s="48"/>
    </row>
    <row r="522" customFormat="false" ht="15.75" hidden="false" customHeight="false" outlineLevel="0" collapsed="false">
      <c r="G522" s="46"/>
      <c r="H522" s="46"/>
      <c r="L522" s="46"/>
      <c r="N522" s="48"/>
    </row>
    <row r="523" customFormat="false" ht="15.75" hidden="false" customHeight="false" outlineLevel="0" collapsed="false">
      <c r="G523" s="46"/>
      <c r="H523" s="46"/>
      <c r="L523" s="46"/>
      <c r="N523" s="48"/>
    </row>
    <row r="524" customFormat="false" ht="15.75" hidden="false" customHeight="false" outlineLevel="0" collapsed="false">
      <c r="G524" s="46"/>
      <c r="H524" s="46"/>
      <c r="L524" s="46"/>
      <c r="N524" s="48"/>
    </row>
    <row r="525" customFormat="false" ht="15.75" hidden="false" customHeight="false" outlineLevel="0" collapsed="false">
      <c r="G525" s="46"/>
      <c r="H525" s="46"/>
      <c r="L525" s="46"/>
      <c r="N525" s="48"/>
    </row>
    <row r="526" customFormat="false" ht="15.75" hidden="false" customHeight="false" outlineLevel="0" collapsed="false">
      <c r="G526" s="46"/>
      <c r="H526" s="46"/>
      <c r="L526" s="46"/>
      <c r="N526" s="48"/>
    </row>
    <row r="527" customFormat="false" ht="15.75" hidden="false" customHeight="false" outlineLevel="0" collapsed="false">
      <c r="G527" s="46"/>
      <c r="H527" s="46"/>
      <c r="L527" s="46"/>
      <c r="N527" s="48"/>
    </row>
    <row r="528" customFormat="false" ht="15.75" hidden="false" customHeight="false" outlineLevel="0" collapsed="false">
      <c r="G528" s="46"/>
      <c r="H528" s="46"/>
      <c r="L528" s="46"/>
      <c r="N528" s="48"/>
    </row>
    <row r="529" customFormat="false" ht="15.75" hidden="false" customHeight="false" outlineLevel="0" collapsed="false">
      <c r="G529" s="46"/>
      <c r="H529" s="46"/>
      <c r="L529" s="46"/>
      <c r="N529" s="48"/>
    </row>
    <row r="530" customFormat="false" ht="15.75" hidden="false" customHeight="false" outlineLevel="0" collapsed="false">
      <c r="G530" s="46"/>
      <c r="H530" s="46"/>
      <c r="L530" s="46"/>
      <c r="N530" s="48"/>
    </row>
    <row r="531" customFormat="false" ht="15.75" hidden="false" customHeight="false" outlineLevel="0" collapsed="false">
      <c r="G531" s="46"/>
      <c r="H531" s="46"/>
      <c r="L531" s="46"/>
      <c r="N531" s="48"/>
    </row>
    <row r="532" customFormat="false" ht="15.75" hidden="false" customHeight="false" outlineLevel="0" collapsed="false">
      <c r="G532" s="46"/>
      <c r="H532" s="46"/>
      <c r="L532" s="46"/>
      <c r="N532" s="48"/>
    </row>
    <row r="533" customFormat="false" ht="15.75" hidden="false" customHeight="false" outlineLevel="0" collapsed="false">
      <c r="G533" s="46"/>
      <c r="H533" s="46"/>
      <c r="L533" s="46"/>
      <c r="N533" s="48"/>
    </row>
    <row r="534" customFormat="false" ht="15.75" hidden="false" customHeight="false" outlineLevel="0" collapsed="false">
      <c r="G534" s="46"/>
      <c r="H534" s="46"/>
      <c r="L534" s="46"/>
      <c r="N534" s="48"/>
    </row>
    <row r="535" customFormat="false" ht="15.75" hidden="false" customHeight="false" outlineLevel="0" collapsed="false">
      <c r="G535" s="46"/>
      <c r="H535" s="46"/>
      <c r="L535" s="46"/>
      <c r="N535" s="48"/>
    </row>
    <row r="536" customFormat="false" ht="15.75" hidden="false" customHeight="false" outlineLevel="0" collapsed="false">
      <c r="G536" s="46"/>
      <c r="H536" s="46"/>
      <c r="L536" s="46"/>
      <c r="N536" s="48"/>
    </row>
    <row r="537" customFormat="false" ht="15.75" hidden="false" customHeight="false" outlineLevel="0" collapsed="false">
      <c r="G537" s="46"/>
      <c r="H537" s="46"/>
      <c r="L537" s="46"/>
      <c r="N537" s="48"/>
    </row>
    <row r="538" customFormat="false" ht="15.75" hidden="false" customHeight="false" outlineLevel="0" collapsed="false">
      <c r="G538" s="46"/>
      <c r="H538" s="46"/>
      <c r="L538" s="46"/>
      <c r="N538" s="48"/>
    </row>
    <row r="539" customFormat="false" ht="15.75" hidden="false" customHeight="false" outlineLevel="0" collapsed="false">
      <c r="G539" s="46"/>
      <c r="H539" s="46"/>
      <c r="L539" s="46"/>
      <c r="N539" s="48"/>
    </row>
    <row r="540" customFormat="false" ht="15.75" hidden="false" customHeight="false" outlineLevel="0" collapsed="false">
      <c r="G540" s="46"/>
      <c r="H540" s="46"/>
      <c r="L540" s="46"/>
      <c r="N540" s="48"/>
    </row>
    <row r="541" customFormat="false" ht="15.75" hidden="false" customHeight="false" outlineLevel="0" collapsed="false">
      <c r="G541" s="46"/>
      <c r="H541" s="46"/>
      <c r="L541" s="46"/>
      <c r="N541" s="48"/>
    </row>
    <row r="542" customFormat="false" ht="15.75" hidden="false" customHeight="false" outlineLevel="0" collapsed="false">
      <c r="G542" s="46"/>
      <c r="H542" s="46"/>
      <c r="L542" s="46"/>
      <c r="N542" s="48"/>
    </row>
    <row r="543" customFormat="false" ht="15.75" hidden="false" customHeight="false" outlineLevel="0" collapsed="false">
      <c r="G543" s="46"/>
      <c r="H543" s="46"/>
      <c r="L543" s="46"/>
      <c r="N543" s="48"/>
    </row>
    <row r="544" customFormat="false" ht="15.75" hidden="false" customHeight="false" outlineLevel="0" collapsed="false">
      <c r="G544" s="46"/>
      <c r="H544" s="46"/>
      <c r="L544" s="46"/>
      <c r="N544" s="48"/>
    </row>
    <row r="545" customFormat="false" ht="15.75" hidden="false" customHeight="false" outlineLevel="0" collapsed="false">
      <c r="G545" s="46"/>
      <c r="H545" s="46"/>
      <c r="L545" s="46"/>
      <c r="N545" s="48"/>
    </row>
    <row r="546" customFormat="false" ht="15.75" hidden="false" customHeight="false" outlineLevel="0" collapsed="false">
      <c r="G546" s="46"/>
      <c r="H546" s="46"/>
      <c r="L546" s="46"/>
      <c r="N546" s="48"/>
    </row>
    <row r="547" customFormat="false" ht="15.75" hidden="false" customHeight="false" outlineLevel="0" collapsed="false">
      <c r="G547" s="46"/>
      <c r="H547" s="46"/>
      <c r="L547" s="46"/>
      <c r="N547" s="48"/>
    </row>
    <row r="548" customFormat="false" ht="15.75" hidden="false" customHeight="false" outlineLevel="0" collapsed="false">
      <c r="G548" s="46"/>
      <c r="H548" s="46"/>
      <c r="L548" s="46"/>
      <c r="N548" s="48"/>
    </row>
    <row r="549" customFormat="false" ht="15.75" hidden="false" customHeight="false" outlineLevel="0" collapsed="false">
      <c r="G549" s="46"/>
      <c r="H549" s="46"/>
      <c r="L549" s="46"/>
      <c r="N549" s="48"/>
    </row>
    <row r="550" customFormat="false" ht="15.75" hidden="false" customHeight="false" outlineLevel="0" collapsed="false">
      <c r="G550" s="46"/>
      <c r="H550" s="46"/>
      <c r="L550" s="46"/>
      <c r="N550" s="48"/>
    </row>
    <row r="551" customFormat="false" ht="15.75" hidden="false" customHeight="false" outlineLevel="0" collapsed="false">
      <c r="G551" s="46"/>
      <c r="H551" s="46"/>
      <c r="L551" s="46"/>
      <c r="N551" s="48"/>
    </row>
    <row r="552" customFormat="false" ht="15.75" hidden="false" customHeight="false" outlineLevel="0" collapsed="false">
      <c r="G552" s="46"/>
      <c r="H552" s="46"/>
      <c r="L552" s="46"/>
      <c r="N552" s="48"/>
    </row>
    <row r="553" customFormat="false" ht="15.75" hidden="false" customHeight="false" outlineLevel="0" collapsed="false">
      <c r="G553" s="46"/>
      <c r="H553" s="46"/>
      <c r="L553" s="46"/>
      <c r="N553" s="48"/>
    </row>
    <row r="554" customFormat="false" ht="15.75" hidden="false" customHeight="false" outlineLevel="0" collapsed="false">
      <c r="G554" s="46"/>
      <c r="H554" s="46"/>
      <c r="L554" s="46"/>
      <c r="N554" s="48"/>
    </row>
    <row r="555" customFormat="false" ht="15.75" hidden="false" customHeight="false" outlineLevel="0" collapsed="false">
      <c r="G555" s="46"/>
      <c r="H555" s="46"/>
      <c r="L555" s="46"/>
      <c r="N555" s="48"/>
    </row>
    <row r="556" customFormat="false" ht="15.75" hidden="false" customHeight="false" outlineLevel="0" collapsed="false">
      <c r="G556" s="46"/>
      <c r="H556" s="46"/>
      <c r="L556" s="46"/>
      <c r="N556" s="48"/>
    </row>
    <row r="557" customFormat="false" ht="15.75" hidden="false" customHeight="false" outlineLevel="0" collapsed="false">
      <c r="G557" s="46"/>
      <c r="H557" s="46"/>
      <c r="L557" s="46"/>
      <c r="N557" s="48"/>
    </row>
    <row r="558" customFormat="false" ht="15.75" hidden="false" customHeight="false" outlineLevel="0" collapsed="false">
      <c r="G558" s="46"/>
      <c r="H558" s="46"/>
      <c r="L558" s="46"/>
      <c r="N558" s="48"/>
    </row>
    <row r="559" customFormat="false" ht="15.75" hidden="false" customHeight="false" outlineLevel="0" collapsed="false">
      <c r="G559" s="46"/>
      <c r="H559" s="46"/>
      <c r="L559" s="46"/>
      <c r="N559" s="48"/>
    </row>
    <row r="560" customFormat="false" ht="15.75" hidden="false" customHeight="false" outlineLevel="0" collapsed="false">
      <c r="G560" s="46"/>
      <c r="H560" s="46"/>
      <c r="L560" s="46"/>
      <c r="N560" s="48"/>
    </row>
    <row r="561" customFormat="false" ht="15.75" hidden="false" customHeight="false" outlineLevel="0" collapsed="false">
      <c r="G561" s="46"/>
      <c r="H561" s="46"/>
      <c r="L561" s="46"/>
      <c r="N561" s="48"/>
    </row>
    <row r="562" customFormat="false" ht="15.75" hidden="false" customHeight="false" outlineLevel="0" collapsed="false">
      <c r="G562" s="46"/>
      <c r="H562" s="46"/>
      <c r="L562" s="46"/>
      <c r="N562" s="48"/>
    </row>
    <row r="563" customFormat="false" ht="15.75" hidden="false" customHeight="false" outlineLevel="0" collapsed="false">
      <c r="G563" s="46"/>
      <c r="H563" s="46"/>
      <c r="L563" s="46"/>
      <c r="N563" s="48"/>
    </row>
    <row r="564" customFormat="false" ht="15.75" hidden="false" customHeight="false" outlineLevel="0" collapsed="false">
      <c r="G564" s="46"/>
      <c r="H564" s="46"/>
      <c r="L564" s="46"/>
      <c r="N564" s="48"/>
    </row>
    <row r="565" customFormat="false" ht="15.75" hidden="false" customHeight="false" outlineLevel="0" collapsed="false">
      <c r="G565" s="46"/>
      <c r="H565" s="46"/>
      <c r="L565" s="46"/>
      <c r="N565" s="48"/>
    </row>
    <row r="566" customFormat="false" ht="15.75" hidden="false" customHeight="false" outlineLevel="0" collapsed="false">
      <c r="G566" s="46"/>
      <c r="H566" s="46"/>
      <c r="L566" s="46"/>
      <c r="N566" s="48"/>
    </row>
    <row r="567" customFormat="false" ht="15.75" hidden="false" customHeight="false" outlineLevel="0" collapsed="false">
      <c r="G567" s="46"/>
      <c r="H567" s="46"/>
      <c r="L567" s="46"/>
      <c r="N567" s="48"/>
    </row>
    <row r="568" customFormat="false" ht="15.75" hidden="false" customHeight="false" outlineLevel="0" collapsed="false">
      <c r="G568" s="46"/>
      <c r="H568" s="46"/>
      <c r="L568" s="46"/>
      <c r="N568" s="48"/>
    </row>
    <row r="569" customFormat="false" ht="15.75" hidden="false" customHeight="false" outlineLevel="0" collapsed="false">
      <c r="G569" s="46"/>
      <c r="H569" s="46"/>
      <c r="L569" s="46"/>
      <c r="N569" s="48"/>
    </row>
    <row r="570" customFormat="false" ht="15.75" hidden="false" customHeight="false" outlineLevel="0" collapsed="false">
      <c r="G570" s="46"/>
      <c r="H570" s="46"/>
      <c r="L570" s="46"/>
      <c r="N570" s="48"/>
    </row>
    <row r="571" customFormat="false" ht="15.75" hidden="false" customHeight="false" outlineLevel="0" collapsed="false">
      <c r="G571" s="46"/>
      <c r="H571" s="46"/>
      <c r="L571" s="46"/>
      <c r="N571" s="48"/>
    </row>
    <row r="572" customFormat="false" ht="15.75" hidden="false" customHeight="false" outlineLevel="0" collapsed="false">
      <c r="G572" s="46"/>
      <c r="H572" s="46"/>
      <c r="L572" s="46"/>
      <c r="N572" s="48"/>
    </row>
    <row r="573" customFormat="false" ht="15.75" hidden="false" customHeight="false" outlineLevel="0" collapsed="false">
      <c r="G573" s="46"/>
      <c r="H573" s="46"/>
      <c r="L573" s="46"/>
      <c r="N573" s="48"/>
    </row>
    <row r="574" customFormat="false" ht="15.75" hidden="false" customHeight="false" outlineLevel="0" collapsed="false">
      <c r="G574" s="46"/>
      <c r="H574" s="46"/>
      <c r="L574" s="46"/>
      <c r="N574" s="48"/>
    </row>
    <row r="575" customFormat="false" ht="15.75" hidden="false" customHeight="false" outlineLevel="0" collapsed="false">
      <c r="G575" s="46"/>
      <c r="H575" s="46"/>
      <c r="L575" s="46"/>
      <c r="N575" s="48"/>
    </row>
    <row r="576" customFormat="false" ht="15.75" hidden="false" customHeight="false" outlineLevel="0" collapsed="false">
      <c r="G576" s="46"/>
      <c r="H576" s="46"/>
      <c r="L576" s="46"/>
      <c r="N576" s="48"/>
    </row>
    <row r="577" customFormat="false" ht="15.75" hidden="false" customHeight="false" outlineLevel="0" collapsed="false">
      <c r="G577" s="46"/>
      <c r="H577" s="46"/>
      <c r="L577" s="46"/>
      <c r="N577" s="48"/>
    </row>
    <row r="578" customFormat="false" ht="15.75" hidden="false" customHeight="false" outlineLevel="0" collapsed="false">
      <c r="G578" s="46"/>
      <c r="H578" s="46"/>
      <c r="L578" s="46"/>
      <c r="N578" s="48"/>
    </row>
    <row r="579" customFormat="false" ht="15.75" hidden="false" customHeight="false" outlineLevel="0" collapsed="false">
      <c r="G579" s="46"/>
      <c r="H579" s="46"/>
      <c r="L579" s="46"/>
      <c r="N579" s="48"/>
    </row>
    <row r="580" customFormat="false" ht="15.75" hidden="false" customHeight="false" outlineLevel="0" collapsed="false">
      <c r="G580" s="46"/>
      <c r="H580" s="46"/>
      <c r="L580" s="46"/>
      <c r="N580" s="48"/>
    </row>
    <row r="581" customFormat="false" ht="15.75" hidden="false" customHeight="false" outlineLevel="0" collapsed="false">
      <c r="G581" s="46"/>
      <c r="H581" s="46"/>
      <c r="L581" s="46"/>
      <c r="N581" s="48"/>
    </row>
    <row r="582" customFormat="false" ht="15.75" hidden="false" customHeight="false" outlineLevel="0" collapsed="false">
      <c r="G582" s="46"/>
      <c r="H582" s="46"/>
      <c r="L582" s="46"/>
      <c r="N582" s="48"/>
    </row>
    <row r="583" customFormat="false" ht="15.75" hidden="false" customHeight="false" outlineLevel="0" collapsed="false">
      <c r="G583" s="46"/>
      <c r="H583" s="46"/>
      <c r="L583" s="46"/>
      <c r="N583" s="48"/>
    </row>
    <row r="584" customFormat="false" ht="15.75" hidden="false" customHeight="false" outlineLevel="0" collapsed="false">
      <c r="G584" s="46"/>
      <c r="H584" s="46"/>
      <c r="L584" s="46"/>
      <c r="N584" s="48"/>
    </row>
    <row r="585" customFormat="false" ht="15.75" hidden="false" customHeight="false" outlineLevel="0" collapsed="false">
      <c r="G585" s="46"/>
      <c r="H585" s="46"/>
      <c r="L585" s="46"/>
      <c r="N585" s="48"/>
    </row>
    <row r="586" customFormat="false" ht="15.75" hidden="false" customHeight="false" outlineLevel="0" collapsed="false">
      <c r="G586" s="46"/>
      <c r="H586" s="46"/>
      <c r="L586" s="46"/>
      <c r="N586" s="48"/>
    </row>
    <row r="587" customFormat="false" ht="15.75" hidden="false" customHeight="false" outlineLevel="0" collapsed="false">
      <c r="G587" s="46"/>
      <c r="H587" s="46"/>
      <c r="L587" s="46"/>
      <c r="N587" s="48"/>
    </row>
    <row r="588" customFormat="false" ht="15.75" hidden="false" customHeight="false" outlineLevel="0" collapsed="false">
      <c r="G588" s="46"/>
      <c r="H588" s="46"/>
      <c r="L588" s="46"/>
      <c r="N588" s="48"/>
    </row>
    <row r="589" customFormat="false" ht="15.75" hidden="false" customHeight="false" outlineLevel="0" collapsed="false">
      <c r="G589" s="46"/>
      <c r="H589" s="46"/>
      <c r="L589" s="46"/>
      <c r="N589" s="48"/>
    </row>
    <row r="590" customFormat="false" ht="15.75" hidden="false" customHeight="false" outlineLevel="0" collapsed="false">
      <c r="G590" s="46"/>
      <c r="H590" s="46"/>
      <c r="L590" s="46"/>
      <c r="N590" s="48"/>
    </row>
    <row r="591" customFormat="false" ht="15.75" hidden="false" customHeight="false" outlineLevel="0" collapsed="false">
      <c r="G591" s="46"/>
      <c r="H591" s="46"/>
      <c r="L591" s="46"/>
      <c r="N591" s="48"/>
    </row>
    <row r="592" customFormat="false" ht="15.75" hidden="false" customHeight="false" outlineLevel="0" collapsed="false">
      <c r="G592" s="46"/>
      <c r="H592" s="46"/>
      <c r="L592" s="46"/>
      <c r="N592" s="48"/>
    </row>
    <row r="593" customFormat="false" ht="15.75" hidden="false" customHeight="false" outlineLevel="0" collapsed="false">
      <c r="G593" s="46"/>
      <c r="H593" s="46"/>
      <c r="L593" s="46"/>
      <c r="N593" s="48"/>
    </row>
    <row r="594" customFormat="false" ht="15.75" hidden="false" customHeight="false" outlineLevel="0" collapsed="false">
      <c r="G594" s="46"/>
      <c r="H594" s="46"/>
      <c r="L594" s="46"/>
      <c r="N594" s="48"/>
    </row>
    <row r="595" customFormat="false" ht="15.75" hidden="false" customHeight="false" outlineLevel="0" collapsed="false">
      <c r="G595" s="46"/>
      <c r="H595" s="46"/>
      <c r="L595" s="46"/>
      <c r="N595" s="48"/>
    </row>
    <row r="596" customFormat="false" ht="15.75" hidden="false" customHeight="false" outlineLevel="0" collapsed="false">
      <c r="G596" s="46"/>
      <c r="H596" s="46"/>
      <c r="L596" s="46"/>
      <c r="N596" s="48"/>
    </row>
    <row r="597" customFormat="false" ht="15.75" hidden="false" customHeight="false" outlineLevel="0" collapsed="false">
      <c r="G597" s="46"/>
      <c r="H597" s="46"/>
      <c r="L597" s="46"/>
      <c r="N597" s="48"/>
    </row>
    <row r="598" customFormat="false" ht="15.75" hidden="false" customHeight="false" outlineLevel="0" collapsed="false">
      <c r="G598" s="46"/>
      <c r="H598" s="46"/>
      <c r="L598" s="46"/>
      <c r="N598" s="48"/>
    </row>
    <row r="599" customFormat="false" ht="15.75" hidden="false" customHeight="false" outlineLevel="0" collapsed="false">
      <c r="G599" s="46"/>
      <c r="H599" s="46"/>
      <c r="L599" s="46"/>
      <c r="N599" s="48"/>
    </row>
    <row r="600" customFormat="false" ht="15.75" hidden="false" customHeight="false" outlineLevel="0" collapsed="false">
      <c r="G600" s="46"/>
      <c r="H600" s="46"/>
      <c r="L600" s="46"/>
      <c r="N600" s="48"/>
    </row>
    <row r="601" customFormat="false" ht="15.75" hidden="false" customHeight="false" outlineLevel="0" collapsed="false">
      <c r="G601" s="46"/>
      <c r="H601" s="46"/>
      <c r="L601" s="46"/>
      <c r="N601" s="48"/>
    </row>
    <row r="602" customFormat="false" ht="15.75" hidden="false" customHeight="false" outlineLevel="0" collapsed="false">
      <c r="G602" s="46"/>
      <c r="H602" s="46"/>
      <c r="L602" s="46"/>
      <c r="N602" s="48"/>
    </row>
    <row r="603" customFormat="false" ht="15.75" hidden="false" customHeight="false" outlineLevel="0" collapsed="false">
      <c r="G603" s="46"/>
      <c r="H603" s="46"/>
      <c r="L603" s="46"/>
      <c r="N603" s="48"/>
    </row>
    <row r="604" customFormat="false" ht="15.75" hidden="false" customHeight="false" outlineLevel="0" collapsed="false">
      <c r="G604" s="46"/>
      <c r="H604" s="46"/>
      <c r="L604" s="46"/>
      <c r="N604" s="48"/>
    </row>
    <row r="605" customFormat="false" ht="15.75" hidden="false" customHeight="false" outlineLevel="0" collapsed="false">
      <c r="G605" s="46"/>
      <c r="H605" s="46"/>
      <c r="L605" s="46"/>
      <c r="N605" s="48"/>
    </row>
    <row r="606" customFormat="false" ht="15.75" hidden="false" customHeight="false" outlineLevel="0" collapsed="false">
      <c r="G606" s="46"/>
      <c r="H606" s="46"/>
      <c r="L606" s="46"/>
      <c r="N606" s="48"/>
    </row>
    <row r="607" customFormat="false" ht="15.75" hidden="false" customHeight="false" outlineLevel="0" collapsed="false">
      <c r="G607" s="46"/>
      <c r="H607" s="46"/>
      <c r="L607" s="46"/>
      <c r="N607" s="48"/>
    </row>
    <row r="608" customFormat="false" ht="15.75" hidden="false" customHeight="false" outlineLevel="0" collapsed="false">
      <c r="G608" s="46"/>
      <c r="H608" s="46"/>
      <c r="L608" s="46"/>
      <c r="N608" s="48"/>
    </row>
    <row r="609" customFormat="false" ht="15.75" hidden="false" customHeight="false" outlineLevel="0" collapsed="false">
      <c r="G609" s="46"/>
      <c r="H609" s="46"/>
      <c r="L609" s="46"/>
      <c r="N609" s="48"/>
    </row>
    <row r="610" customFormat="false" ht="15.75" hidden="false" customHeight="false" outlineLevel="0" collapsed="false">
      <c r="G610" s="46"/>
      <c r="H610" s="46"/>
      <c r="L610" s="46"/>
      <c r="N610" s="48"/>
    </row>
    <row r="611" customFormat="false" ht="15.75" hidden="false" customHeight="false" outlineLevel="0" collapsed="false">
      <c r="G611" s="46"/>
      <c r="H611" s="46"/>
      <c r="L611" s="46"/>
      <c r="N611" s="48"/>
    </row>
    <row r="612" customFormat="false" ht="15.75" hidden="false" customHeight="false" outlineLevel="0" collapsed="false">
      <c r="G612" s="46"/>
      <c r="H612" s="46"/>
      <c r="L612" s="46"/>
      <c r="N612" s="48"/>
    </row>
    <row r="613" customFormat="false" ht="15.75" hidden="false" customHeight="false" outlineLevel="0" collapsed="false">
      <c r="G613" s="46"/>
      <c r="H613" s="46"/>
      <c r="L613" s="46"/>
      <c r="N613" s="48"/>
    </row>
    <row r="614" customFormat="false" ht="15.75" hidden="false" customHeight="false" outlineLevel="0" collapsed="false">
      <c r="G614" s="46"/>
      <c r="H614" s="46"/>
      <c r="L614" s="46"/>
      <c r="N614" s="48"/>
    </row>
    <row r="615" customFormat="false" ht="15.75" hidden="false" customHeight="false" outlineLevel="0" collapsed="false">
      <c r="G615" s="46"/>
      <c r="H615" s="46"/>
      <c r="L615" s="46"/>
      <c r="N615" s="48"/>
    </row>
    <row r="616" customFormat="false" ht="15.75" hidden="false" customHeight="false" outlineLevel="0" collapsed="false">
      <c r="G616" s="46"/>
      <c r="H616" s="46"/>
      <c r="L616" s="46"/>
      <c r="N616" s="48"/>
    </row>
    <row r="617" customFormat="false" ht="15.75" hidden="false" customHeight="false" outlineLevel="0" collapsed="false">
      <c r="G617" s="46"/>
      <c r="H617" s="46"/>
      <c r="L617" s="46"/>
      <c r="N617" s="48"/>
    </row>
    <row r="618" customFormat="false" ht="15.75" hidden="false" customHeight="false" outlineLevel="0" collapsed="false">
      <c r="G618" s="46"/>
      <c r="H618" s="46"/>
      <c r="L618" s="46"/>
      <c r="N618" s="48"/>
    </row>
    <row r="619" customFormat="false" ht="15.75" hidden="false" customHeight="false" outlineLevel="0" collapsed="false">
      <c r="G619" s="46"/>
      <c r="H619" s="46"/>
      <c r="L619" s="46"/>
      <c r="N619" s="48"/>
    </row>
    <row r="620" customFormat="false" ht="15.75" hidden="false" customHeight="false" outlineLevel="0" collapsed="false">
      <c r="G620" s="46"/>
      <c r="H620" s="46"/>
      <c r="L620" s="46"/>
      <c r="N620" s="48"/>
    </row>
    <row r="621" customFormat="false" ht="15.75" hidden="false" customHeight="false" outlineLevel="0" collapsed="false">
      <c r="G621" s="46"/>
      <c r="H621" s="46"/>
      <c r="L621" s="46"/>
      <c r="N621" s="48"/>
    </row>
    <row r="622" customFormat="false" ht="15.75" hidden="false" customHeight="false" outlineLevel="0" collapsed="false">
      <c r="G622" s="46"/>
      <c r="H622" s="46"/>
      <c r="L622" s="46"/>
      <c r="N622" s="48"/>
    </row>
    <row r="623" customFormat="false" ht="15.75" hidden="false" customHeight="false" outlineLevel="0" collapsed="false">
      <c r="G623" s="46"/>
      <c r="H623" s="46"/>
      <c r="L623" s="46"/>
      <c r="N623" s="48"/>
    </row>
    <row r="624" customFormat="false" ht="15.75" hidden="false" customHeight="false" outlineLevel="0" collapsed="false">
      <c r="G624" s="46"/>
      <c r="H624" s="46"/>
      <c r="L624" s="46"/>
      <c r="N624" s="48"/>
    </row>
    <row r="625" customFormat="false" ht="15.75" hidden="false" customHeight="false" outlineLevel="0" collapsed="false">
      <c r="G625" s="46"/>
      <c r="H625" s="46"/>
      <c r="L625" s="46"/>
      <c r="N625" s="48"/>
    </row>
    <row r="626" customFormat="false" ht="15.75" hidden="false" customHeight="false" outlineLevel="0" collapsed="false">
      <c r="G626" s="46"/>
      <c r="H626" s="46"/>
      <c r="L626" s="46"/>
      <c r="N626" s="48"/>
    </row>
    <row r="627" customFormat="false" ht="15.75" hidden="false" customHeight="false" outlineLevel="0" collapsed="false">
      <c r="G627" s="46"/>
      <c r="H627" s="46"/>
      <c r="L627" s="46"/>
      <c r="N627" s="48"/>
    </row>
    <row r="628" customFormat="false" ht="15.75" hidden="false" customHeight="false" outlineLevel="0" collapsed="false">
      <c r="G628" s="46"/>
      <c r="H628" s="46"/>
      <c r="L628" s="46"/>
      <c r="N628" s="48"/>
    </row>
    <row r="629" customFormat="false" ht="15.75" hidden="false" customHeight="false" outlineLevel="0" collapsed="false">
      <c r="G629" s="46"/>
      <c r="H629" s="46"/>
      <c r="L629" s="46"/>
      <c r="N629" s="48"/>
    </row>
    <row r="630" customFormat="false" ht="15.75" hidden="false" customHeight="false" outlineLevel="0" collapsed="false">
      <c r="G630" s="46"/>
      <c r="H630" s="46"/>
      <c r="L630" s="46"/>
      <c r="N630" s="48"/>
    </row>
    <row r="631" customFormat="false" ht="15.75" hidden="false" customHeight="false" outlineLevel="0" collapsed="false">
      <c r="G631" s="46"/>
      <c r="H631" s="46"/>
      <c r="L631" s="46"/>
      <c r="N631" s="48"/>
    </row>
    <row r="632" customFormat="false" ht="15.75" hidden="false" customHeight="false" outlineLevel="0" collapsed="false">
      <c r="G632" s="46"/>
      <c r="H632" s="46"/>
      <c r="L632" s="46"/>
      <c r="N632" s="48"/>
    </row>
    <row r="633" customFormat="false" ht="15.75" hidden="false" customHeight="false" outlineLevel="0" collapsed="false">
      <c r="G633" s="46"/>
      <c r="H633" s="46"/>
      <c r="L633" s="46"/>
      <c r="N633" s="48"/>
    </row>
    <row r="634" customFormat="false" ht="15.75" hidden="false" customHeight="false" outlineLevel="0" collapsed="false">
      <c r="G634" s="46"/>
      <c r="H634" s="46"/>
      <c r="L634" s="46"/>
      <c r="N634" s="48"/>
    </row>
    <row r="635" customFormat="false" ht="15.75" hidden="false" customHeight="false" outlineLevel="0" collapsed="false">
      <c r="G635" s="46"/>
      <c r="H635" s="46"/>
      <c r="L635" s="46"/>
      <c r="N635" s="48"/>
    </row>
    <row r="636" customFormat="false" ht="15.75" hidden="false" customHeight="false" outlineLevel="0" collapsed="false">
      <c r="G636" s="46"/>
      <c r="H636" s="46"/>
      <c r="L636" s="46"/>
      <c r="N636" s="48"/>
    </row>
    <row r="637" customFormat="false" ht="15.75" hidden="false" customHeight="false" outlineLevel="0" collapsed="false">
      <c r="G637" s="46"/>
      <c r="H637" s="46"/>
      <c r="L637" s="46"/>
      <c r="N637" s="48"/>
    </row>
    <row r="638" customFormat="false" ht="15.75" hidden="false" customHeight="false" outlineLevel="0" collapsed="false">
      <c r="G638" s="46"/>
      <c r="H638" s="46"/>
      <c r="L638" s="46"/>
      <c r="N638" s="48"/>
    </row>
    <row r="639" customFormat="false" ht="15.75" hidden="false" customHeight="false" outlineLevel="0" collapsed="false">
      <c r="G639" s="46"/>
      <c r="H639" s="46"/>
      <c r="L639" s="46"/>
      <c r="N639" s="48"/>
    </row>
    <row r="640" customFormat="false" ht="15.75" hidden="false" customHeight="false" outlineLevel="0" collapsed="false">
      <c r="G640" s="46"/>
      <c r="H640" s="46"/>
      <c r="L640" s="46"/>
      <c r="N640" s="48"/>
    </row>
    <row r="641" customFormat="false" ht="15.75" hidden="false" customHeight="false" outlineLevel="0" collapsed="false">
      <c r="G641" s="46"/>
      <c r="H641" s="46"/>
      <c r="L641" s="46"/>
      <c r="N641" s="48"/>
    </row>
    <row r="642" customFormat="false" ht="15.75" hidden="false" customHeight="false" outlineLevel="0" collapsed="false">
      <c r="G642" s="46"/>
      <c r="H642" s="46"/>
      <c r="L642" s="46"/>
      <c r="N642" s="48"/>
    </row>
    <row r="643" customFormat="false" ht="15.75" hidden="false" customHeight="false" outlineLevel="0" collapsed="false">
      <c r="G643" s="46"/>
      <c r="H643" s="46"/>
      <c r="L643" s="46"/>
      <c r="N643" s="48"/>
    </row>
    <row r="644" customFormat="false" ht="15.75" hidden="false" customHeight="false" outlineLevel="0" collapsed="false">
      <c r="G644" s="46"/>
      <c r="H644" s="46"/>
      <c r="L644" s="46"/>
      <c r="N644" s="48"/>
    </row>
    <row r="645" customFormat="false" ht="15.75" hidden="false" customHeight="false" outlineLevel="0" collapsed="false">
      <c r="G645" s="46"/>
      <c r="H645" s="46"/>
      <c r="L645" s="46"/>
      <c r="N645" s="48"/>
    </row>
    <row r="646" customFormat="false" ht="15.75" hidden="false" customHeight="false" outlineLevel="0" collapsed="false">
      <c r="G646" s="46"/>
      <c r="H646" s="46"/>
      <c r="L646" s="46"/>
      <c r="N646" s="48"/>
    </row>
    <row r="647" customFormat="false" ht="15.75" hidden="false" customHeight="false" outlineLevel="0" collapsed="false">
      <c r="G647" s="46"/>
      <c r="H647" s="46"/>
      <c r="L647" s="46"/>
      <c r="N647" s="48"/>
    </row>
    <row r="648" customFormat="false" ht="15.75" hidden="false" customHeight="false" outlineLevel="0" collapsed="false">
      <c r="G648" s="46"/>
      <c r="H648" s="46"/>
      <c r="L648" s="46"/>
      <c r="N648" s="48"/>
    </row>
    <row r="649" customFormat="false" ht="15.75" hidden="false" customHeight="false" outlineLevel="0" collapsed="false">
      <c r="G649" s="46"/>
      <c r="H649" s="46"/>
      <c r="L649" s="46"/>
      <c r="N649" s="48"/>
    </row>
    <row r="650" customFormat="false" ht="15.75" hidden="false" customHeight="false" outlineLevel="0" collapsed="false">
      <c r="G650" s="46"/>
      <c r="H650" s="46"/>
      <c r="L650" s="46"/>
      <c r="N650" s="48"/>
    </row>
    <row r="651" customFormat="false" ht="15.75" hidden="false" customHeight="false" outlineLevel="0" collapsed="false">
      <c r="G651" s="46"/>
      <c r="H651" s="46"/>
      <c r="L651" s="46"/>
      <c r="N651" s="48"/>
    </row>
    <row r="652" customFormat="false" ht="15.75" hidden="false" customHeight="false" outlineLevel="0" collapsed="false">
      <c r="G652" s="46"/>
      <c r="H652" s="46"/>
      <c r="L652" s="46"/>
      <c r="N652" s="48"/>
    </row>
    <row r="653" customFormat="false" ht="15.75" hidden="false" customHeight="false" outlineLevel="0" collapsed="false">
      <c r="G653" s="46"/>
      <c r="H653" s="46"/>
      <c r="L653" s="46"/>
      <c r="N653" s="48"/>
    </row>
    <row r="654" customFormat="false" ht="15.75" hidden="false" customHeight="false" outlineLevel="0" collapsed="false">
      <c r="G654" s="46"/>
      <c r="H654" s="46"/>
      <c r="L654" s="46"/>
      <c r="N654" s="48"/>
    </row>
    <row r="655" customFormat="false" ht="15.75" hidden="false" customHeight="false" outlineLevel="0" collapsed="false">
      <c r="G655" s="46"/>
      <c r="H655" s="46"/>
      <c r="L655" s="46"/>
      <c r="N655" s="48"/>
    </row>
    <row r="656" customFormat="false" ht="15.75" hidden="false" customHeight="false" outlineLevel="0" collapsed="false">
      <c r="G656" s="46"/>
      <c r="H656" s="46"/>
      <c r="L656" s="46"/>
      <c r="N656" s="48"/>
    </row>
    <row r="657" customFormat="false" ht="15.75" hidden="false" customHeight="false" outlineLevel="0" collapsed="false">
      <c r="G657" s="46"/>
      <c r="H657" s="46"/>
      <c r="L657" s="46"/>
      <c r="N657" s="48"/>
    </row>
    <row r="658" customFormat="false" ht="15.75" hidden="false" customHeight="false" outlineLevel="0" collapsed="false">
      <c r="G658" s="46"/>
      <c r="H658" s="46"/>
      <c r="L658" s="46"/>
      <c r="N658" s="48"/>
    </row>
    <row r="659" customFormat="false" ht="15.75" hidden="false" customHeight="false" outlineLevel="0" collapsed="false">
      <c r="G659" s="46"/>
      <c r="H659" s="46"/>
      <c r="L659" s="46"/>
      <c r="N659" s="48"/>
    </row>
    <row r="660" customFormat="false" ht="15.75" hidden="false" customHeight="false" outlineLevel="0" collapsed="false">
      <c r="G660" s="46"/>
      <c r="H660" s="46"/>
      <c r="L660" s="46"/>
      <c r="N660" s="48"/>
    </row>
    <row r="661" customFormat="false" ht="15.75" hidden="false" customHeight="false" outlineLevel="0" collapsed="false">
      <c r="G661" s="46"/>
      <c r="H661" s="46"/>
      <c r="L661" s="46"/>
      <c r="N661" s="48"/>
    </row>
    <row r="662" customFormat="false" ht="15.75" hidden="false" customHeight="false" outlineLevel="0" collapsed="false">
      <c r="G662" s="46"/>
      <c r="H662" s="46"/>
      <c r="L662" s="46"/>
      <c r="N662" s="48"/>
    </row>
    <row r="663" customFormat="false" ht="15.75" hidden="false" customHeight="false" outlineLevel="0" collapsed="false">
      <c r="G663" s="46"/>
      <c r="H663" s="46"/>
      <c r="L663" s="46"/>
      <c r="N663" s="48"/>
    </row>
    <row r="664" customFormat="false" ht="15.75" hidden="false" customHeight="false" outlineLevel="0" collapsed="false">
      <c r="G664" s="46"/>
      <c r="H664" s="46"/>
      <c r="L664" s="46"/>
      <c r="N664" s="48"/>
    </row>
    <row r="665" customFormat="false" ht="15.75" hidden="false" customHeight="false" outlineLevel="0" collapsed="false">
      <c r="G665" s="46"/>
      <c r="H665" s="46"/>
      <c r="L665" s="46"/>
      <c r="N665" s="48"/>
    </row>
    <row r="666" customFormat="false" ht="15.75" hidden="false" customHeight="false" outlineLevel="0" collapsed="false">
      <c r="G666" s="46"/>
      <c r="H666" s="46"/>
      <c r="L666" s="46"/>
      <c r="N666" s="48"/>
    </row>
    <row r="667" customFormat="false" ht="15.75" hidden="false" customHeight="false" outlineLevel="0" collapsed="false">
      <c r="G667" s="46"/>
      <c r="H667" s="46"/>
      <c r="L667" s="46"/>
      <c r="N667" s="48"/>
    </row>
    <row r="668" customFormat="false" ht="15.75" hidden="false" customHeight="false" outlineLevel="0" collapsed="false">
      <c r="G668" s="46"/>
      <c r="H668" s="46"/>
      <c r="L668" s="46"/>
      <c r="N668" s="48"/>
    </row>
    <row r="669" customFormat="false" ht="15.75" hidden="false" customHeight="false" outlineLevel="0" collapsed="false">
      <c r="G669" s="46"/>
      <c r="H669" s="46"/>
      <c r="L669" s="46"/>
      <c r="N669" s="48"/>
    </row>
    <row r="670" customFormat="false" ht="15.75" hidden="false" customHeight="false" outlineLevel="0" collapsed="false">
      <c r="G670" s="46"/>
      <c r="H670" s="46"/>
      <c r="L670" s="46"/>
      <c r="N670" s="48"/>
    </row>
    <row r="671" customFormat="false" ht="15.75" hidden="false" customHeight="false" outlineLevel="0" collapsed="false">
      <c r="G671" s="46"/>
      <c r="H671" s="46"/>
      <c r="L671" s="46"/>
      <c r="N671" s="48"/>
    </row>
    <row r="672" customFormat="false" ht="15.75" hidden="false" customHeight="false" outlineLevel="0" collapsed="false">
      <c r="G672" s="46"/>
      <c r="H672" s="46"/>
      <c r="L672" s="46"/>
      <c r="N672" s="48"/>
    </row>
    <row r="673" customFormat="false" ht="15.75" hidden="false" customHeight="false" outlineLevel="0" collapsed="false">
      <c r="G673" s="46"/>
      <c r="H673" s="46"/>
      <c r="L673" s="46"/>
      <c r="N673" s="48"/>
    </row>
    <row r="674" customFormat="false" ht="15.75" hidden="false" customHeight="false" outlineLevel="0" collapsed="false">
      <c r="G674" s="46"/>
      <c r="H674" s="46"/>
      <c r="L674" s="46"/>
      <c r="N674" s="48"/>
    </row>
    <row r="675" customFormat="false" ht="15.75" hidden="false" customHeight="false" outlineLevel="0" collapsed="false">
      <c r="G675" s="46"/>
      <c r="H675" s="46"/>
      <c r="L675" s="46"/>
      <c r="N675" s="48"/>
    </row>
    <row r="676" customFormat="false" ht="15.75" hidden="false" customHeight="false" outlineLevel="0" collapsed="false">
      <c r="G676" s="46"/>
      <c r="H676" s="46"/>
      <c r="L676" s="46"/>
      <c r="N676" s="48"/>
    </row>
    <row r="677" customFormat="false" ht="15.75" hidden="false" customHeight="false" outlineLevel="0" collapsed="false">
      <c r="G677" s="46"/>
      <c r="H677" s="46"/>
      <c r="L677" s="46"/>
      <c r="N677" s="48"/>
    </row>
    <row r="678" customFormat="false" ht="15.75" hidden="false" customHeight="false" outlineLevel="0" collapsed="false">
      <c r="G678" s="46"/>
      <c r="H678" s="46"/>
      <c r="L678" s="46"/>
      <c r="N678" s="48"/>
    </row>
    <row r="679" customFormat="false" ht="15.75" hidden="false" customHeight="false" outlineLevel="0" collapsed="false">
      <c r="G679" s="46"/>
      <c r="H679" s="46"/>
      <c r="L679" s="46"/>
      <c r="N679" s="48"/>
    </row>
    <row r="680" customFormat="false" ht="15.75" hidden="false" customHeight="false" outlineLevel="0" collapsed="false">
      <c r="G680" s="46"/>
      <c r="H680" s="46"/>
      <c r="L680" s="46"/>
      <c r="N680" s="48"/>
    </row>
    <row r="681" customFormat="false" ht="15.75" hidden="false" customHeight="false" outlineLevel="0" collapsed="false">
      <c r="G681" s="46"/>
      <c r="H681" s="46"/>
      <c r="L681" s="46"/>
      <c r="N681" s="48"/>
    </row>
    <row r="682" customFormat="false" ht="15.75" hidden="false" customHeight="false" outlineLevel="0" collapsed="false">
      <c r="G682" s="46"/>
      <c r="H682" s="46"/>
      <c r="L682" s="46"/>
      <c r="N682" s="48"/>
    </row>
    <row r="683" customFormat="false" ht="15.75" hidden="false" customHeight="false" outlineLevel="0" collapsed="false">
      <c r="G683" s="46"/>
      <c r="H683" s="46"/>
      <c r="L683" s="46"/>
      <c r="N683" s="48"/>
    </row>
    <row r="684" customFormat="false" ht="15.75" hidden="false" customHeight="false" outlineLevel="0" collapsed="false">
      <c r="G684" s="46"/>
      <c r="H684" s="46"/>
      <c r="L684" s="46"/>
      <c r="N684" s="48"/>
    </row>
    <row r="685" customFormat="false" ht="15.75" hidden="false" customHeight="false" outlineLevel="0" collapsed="false">
      <c r="G685" s="46"/>
      <c r="H685" s="46"/>
      <c r="L685" s="46"/>
      <c r="N685" s="48"/>
    </row>
    <row r="686" customFormat="false" ht="15.75" hidden="false" customHeight="false" outlineLevel="0" collapsed="false">
      <c r="G686" s="46"/>
      <c r="H686" s="46"/>
      <c r="L686" s="46"/>
      <c r="N686" s="48"/>
    </row>
    <row r="687" customFormat="false" ht="15.75" hidden="false" customHeight="false" outlineLevel="0" collapsed="false">
      <c r="G687" s="46"/>
      <c r="H687" s="46"/>
      <c r="L687" s="46"/>
      <c r="N687" s="48"/>
    </row>
    <row r="688" customFormat="false" ht="15.75" hidden="false" customHeight="false" outlineLevel="0" collapsed="false">
      <c r="G688" s="46"/>
      <c r="H688" s="46"/>
      <c r="L688" s="46"/>
      <c r="N688" s="48"/>
    </row>
    <row r="689" customFormat="false" ht="15.75" hidden="false" customHeight="false" outlineLevel="0" collapsed="false">
      <c r="G689" s="46"/>
      <c r="H689" s="46"/>
      <c r="L689" s="46"/>
      <c r="N689" s="48"/>
    </row>
    <row r="690" customFormat="false" ht="15.75" hidden="false" customHeight="false" outlineLevel="0" collapsed="false">
      <c r="G690" s="46"/>
      <c r="H690" s="46"/>
      <c r="L690" s="46"/>
      <c r="N690" s="48"/>
    </row>
    <row r="691" customFormat="false" ht="15.75" hidden="false" customHeight="false" outlineLevel="0" collapsed="false">
      <c r="G691" s="46"/>
      <c r="H691" s="46"/>
      <c r="L691" s="46"/>
      <c r="N691" s="48"/>
    </row>
    <row r="692" customFormat="false" ht="15.75" hidden="false" customHeight="false" outlineLevel="0" collapsed="false">
      <c r="G692" s="46"/>
      <c r="H692" s="46"/>
      <c r="L692" s="46"/>
      <c r="N692" s="48"/>
    </row>
    <row r="693" customFormat="false" ht="15.75" hidden="false" customHeight="false" outlineLevel="0" collapsed="false">
      <c r="G693" s="46"/>
      <c r="H693" s="46"/>
      <c r="L693" s="46"/>
      <c r="N693" s="48"/>
    </row>
    <row r="694" customFormat="false" ht="15.75" hidden="false" customHeight="false" outlineLevel="0" collapsed="false">
      <c r="G694" s="46"/>
      <c r="H694" s="46"/>
      <c r="L694" s="46"/>
      <c r="N694" s="48"/>
    </row>
    <row r="695" customFormat="false" ht="15.75" hidden="false" customHeight="false" outlineLevel="0" collapsed="false">
      <c r="G695" s="46"/>
      <c r="H695" s="46"/>
      <c r="L695" s="46"/>
      <c r="N695" s="48"/>
    </row>
    <row r="696" customFormat="false" ht="15.75" hidden="false" customHeight="false" outlineLevel="0" collapsed="false">
      <c r="G696" s="46"/>
      <c r="H696" s="46"/>
      <c r="L696" s="46"/>
      <c r="N696" s="48"/>
    </row>
    <row r="697" customFormat="false" ht="15.75" hidden="false" customHeight="false" outlineLevel="0" collapsed="false">
      <c r="G697" s="46"/>
      <c r="H697" s="46"/>
      <c r="L697" s="46"/>
      <c r="N697" s="48"/>
    </row>
    <row r="698" customFormat="false" ht="15.75" hidden="false" customHeight="false" outlineLevel="0" collapsed="false">
      <c r="G698" s="46"/>
      <c r="H698" s="46"/>
      <c r="L698" s="46"/>
      <c r="N698" s="48"/>
    </row>
    <row r="699" customFormat="false" ht="15.75" hidden="false" customHeight="false" outlineLevel="0" collapsed="false">
      <c r="G699" s="46"/>
      <c r="H699" s="46"/>
      <c r="L699" s="46"/>
      <c r="N699" s="48"/>
    </row>
    <row r="700" customFormat="false" ht="15.75" hidden="false" customHeight="false" outlineLevel="0" collapsed="false">
      <c r="G700" s="46"/>
      <c r="H700" s="46"/>
      <c r="L700" s="46"/>
      <c r="N700" s="48"/>
    </row>
    <row r="701" customFormat="false" ht="15.75" hidden="false" customHeight="false" outlineLevel="0" collapsed="false">
      <c r="G701" s="46"/>
      <c r="H701" s="46"/>
      <c r="L701" s="46"/>
      <c r="N701" s="48"/>
    </row>
    <row r="702" customFormat="false" ht="15.75" hidden="false" customHeight="false" outlineLevel="0" collapsed="false">
      <c r="G702" s="46"/>
      <c r="H702" s="46"/>
      <c r="L702" s="46"/>
      <c r="N702" s="48"/>
    </row>
    <row r="703" customFormat="false" ht="15.75" hidden="false" customHeight="false" outlineLevel="0" collapsed="false">
      <c r="G703" s="46"/>
      <c r="H703" s="46"/>
      <c r="L703" s="46"/>
      <c r="N703" s="48"/>
    </row>
    <row r="704" customFormat="false" ht="15.75" hidden="false" customHeight="false" outlineLevel="0" collapsed="false">
      <c r="G704" s="46"/>
      <c r="H704" s="46"/>
      <c r="L704" s="46"/>
      <c r="N704" s="48"/>
    </row>
    <row r="705" customFormat="false" ht="15.75" hidden="false" customHeight="false" outlineLevel="0" collapsed="false">
      <c r="G705" s="46"/>
      <c r="H705" s="46"/>
      <c r="L705" s="46"/>
      <c r="N705" s="48"/>
    </row>
    <row r="706" customFormat="false" ht="15.75" hidden="false" customHeight="false" outlineLevel="0" collapsed="false">
      <c r="G706" s="46"/>
      <c r="H706" s="46"/>
      <c r="L706" s="46"/>
      <c r="N706" s="48"/>
    </row>
    <row r="707" customFormat="false" ht="15.75" hidden="false" customHeight="false" outlineLevel="0" collapsed="false">
      <c r="G707" s="46"/>
      <c r="H707" s="46"/>
      <c r="L707" s="46"/>
      <c r="N707" s="48"/>
    </row>
    <row r="708" customFormat="false" ht="15.75" hidden="false" customHeight="false" outlineLevel="0" collapsed="false">
      <c r="G708" s="46"/>
      <c r="H708" s="46"/>
      <c r="L708" s="46"/>
      <c r="N708" s="48"/>
    </row>
    <row r="709" customFormat="false" ht="15.75" hidden="false" customHeight="false" outlineLevel="0" collapsed="false">
      <c r="G709" s="46"/>
      <c r="H709" s="46"/>
      <c r="L709" s="46"/>
      <c r="N709" s="48"/>
    </row>
    <row r="710" customFormat="false" ht="15.75" hidden="false" customHeight="false" outlineLevel="0" collapsed="false">
      <c r="G710" s="46"/>
      <c r="H710" s="46"/>
      <c r="L710" s="46"/>
      <c r="N710" s="48"/>
    </row>
    <row r="711" customFormat="false" ht="15.75" hidden="false" customHeight="false" outlineLevel="0" collapsed="false">
      <c r="G711" s="46"/>
      <c r="H711" s="46"/>
      <c r="L711" s="46"/>
      <c r="N711" s="48"/>
    </row>
    <row r="712" customFormat="false" ht="15.75" hidden="false" customHeight="false" outlineLevel="0" collapsed="false">
      <c r="G712" s="46"/>
      <c r="H712" s="46"/>
      <c r="L712" s="46"/>
      <c r="N712" s="48"/>
    </row>
    <row r="713" customFormat="false" ht="15.75" hidden="false" customHeight="false" outlineLevel="0" collapsed="false">
      <c r="G713" s="46"/>
      <c r="H713" s="46"/>
      <c r="L713" s="46"/>
      <c r="N713" s="48"/>
    </row>
    <row r="714" customFormat="false" ht="15.75" hidden="false" customHeight="false" outlineLevel="0" collapsed="false">
      <c r="G714" s="46"/>
      <c r="H714" s="46"/>
      <c r="L714" s="46"/>
      <c r="N714" s="48"/>
    </row>
    <row r="715" customFormat="false" ht="15.75" hidden="false" customHeight="false" outlineLevel="0" collapsed="false">
      <c r="G715" s="46"/>
      <c r="H715" s="46"/>
      <c r="L715" s="46"/>
      <c r="N715" s="48"/>
    </row>
    <row r="716" customFormat="false" ht="15.75" hidden="false" customHeight="false" outlineLevel="0" collapsed="false">
      <c r="G716" s="46"/>
      <c r="H716" s="46"/>
      <c r="L716" s="46"/>
      <c r="N716" s="48"/>
    </row>
    <row r="717" customFormat="false" ht="15.75" hidden="false" customHeight="false" outlineLevel="0" collapsed="false">
      <c r="G717" s="46"/>
      <c r="H717" s="46"/>
      <c r="L717" s="46"/>
      <c r="N717" s="48"/>
    </row>
    <row r="718" customFormat="false" ht="15.75" hidden="false" customHeight="false" outlineLevel="0" collapsed="false">
      <c r="G718" s="46"/>
      <c r="H718" s="46"/>
      <c r="L718" s="46"/>
      <c r="N718" s="48"/>
    </row>
    <row r="719" customFormat="false" ht="15.75" hidden="false" customHeight="false" outlineLevel="0" collapsed="false">
      <c r="G719" s="46"/>
      <c r="H719" s="46"/>
      <c r="L719" s="46"/>
      <c r="N719" s="48"/>
    </row>
    <row r="720" customFormat="false" ht="15.75" hidden="false" customHeight="false" outlineLevel="0" collapsed="false">
      <c r="G720" s="46"/>
      <c r="H720" s="46"/>
      <c r="L720" s="46"/>
      <c r="N720" s="48"/>
    </row>
    <row r="721" customFormat="false" ht="15.75" hidden="false" customHeight="false" outlineLevel="0" collapsed="false">
      <c r="G721" s="46"/>
      <c r="H721" s="46"/>
      <c r="L721" s="46"/>
      <c r="N721" s="48"/>
    </row>
    <row r="722" customFormat="false" ht="15.75" hidden="false" customHeight="false" outlineLevel="0" collapsed="false">
      <c r="G722" s="46"/>
      <c r="H722" s="46"/>
      <c r="L722" s="46"/>
      <c r="N722" s="48"/>
    </row>
    <row r="723" customFormat="false" ht="15.75" hidden="false" customHeight="false" outlineLevel="0" collapsed="false">
      <c r="G723" s="46"/>
      <c r="H723" s="46"/>
      <c r="L723" s="46"/>
      <c r="N723" s="48"/>
    </row>
    <row r="724" customFormat="false" ht="15.75" hidden="false" customHeight="false" outlineLevel="0" collapsed="false">
      <c r="G724" s="46"/>
      <c r="H724" s="46"/>
      <c r="L724" s="46"/>
      <c r="N724" s="48"/>
    </row>
    <row r="725" customFormat="false" ht="15.75" hidden="false" customHeight="false" outlineLevel="0" collapsed="false">
      <c r="G725" s="46"/>
      <c r="H725" s="46"/>
      <c r="L725" s="46"/>
      <c r="N725" s="48"/>
    </row>
    <row r="726" customFormat="false" ht="15.75" hidden="false" customHeight="false" outlineLevel="0" collapsed="false">
      <c r="G726" s="46"/>
      <c r="H726" s="46"/>
      <c r="L726" s="46"/>
      <c r="N726" s="48"/>
    </row>
    <row r="727" customFormat="false" ht="15.75" hidden="false" customHeight="false" outlineLevel="0" collapsed="false">
      <c r="G727" s="46"/>
      <c r="H727" s="46"/>
      <c r="L727" s="46"/>
      <c r="N727" s="48"/>
    </row>
    <row r="728" customFormat="false" ht="15.75" hidden="false" customHeight="false" outlineLevel="0" collapsed="false">
      <c r="G728" s="46"/>
      <c r="H728" s="46"/>
      <c r="L728" s="46"/>
      <c r="N728" s="48"/>
    </row>
    <row r="729" customFormat="false" ht="15.75" hidden="false" customHeight="false" outlineLevel="0" collapsed="false">
      <c r="G729" s="46"/>
      <c r="H729" s="46"/>
      <c r="L729" s="46"/>
      <c r="N729" s="48"/>
    </row>
    <row r="730" customFormat="false" ht="15.75" hidden="false" customHeight="false" outlineLevel="0" collapsed="false">
      <c r="G730" s="46"/>
      <c r="H730" s="46"/>
      <c r="L730" s="46"/>
      <c r="N730" s="48"/>
    </row>
    <row r="731" customFormat="false" ht="15.75" hidden="false" customHeight="false" outlineLevel="0" collapsed="false">
      <c r="G731" s="46"/>
      <c r="H731" s="46"/>
      <c r="L731" s="46"/>
      <c r="N731" s="48"/>
    </row>
    <row r="732" customFormat="false" ht="15.75" hidden="false" customHeight="false" outlineLevel="0" collapsed="false">
      <c r="G732" s="46"/>
      <c r="H732" s="46"/>
      <c r="L732" s="46"/>
      <c r="N732" s="48"/>
    </row>
    <row r="733" customFormat="false" ht="15.75" hidden="false" customHeight="false" outlineLevel="0" collapsed="false">
      <c r="G733" s="46"/>
      <c r="H733" s="46"/>
      <c r="L733" s="46"/>
      <c r="N733" s="48"/>
    </row>
    <row r="734" customFormat="false" ht="15.75" hidden="false" customHeight="false" outlineLevel="0" collapsed="false">
      <c r="G734" s="46"/>
      <c r="H734" s="46"/>
      <c r="L734" s="46"/>
      <c r="N734" s="48"/>
    </row>
    <row r="735" customFormat="false" ht="15.75" hidden="false" customHeight="false" outlineLevel="0" collapsed="false">
      <c r="G735" s="46"/>
      <c r="H735" s="46"/>
      <c r="L735" s="46"/>
      <c r="N735" s="48"/>
    </row>
    <row r="736" customFormat="false" ht="15.75" hidden="false" customHeight="false" outlineLevel="0" collapsed="false">
      <c r="G736" s="46"/>
      <c r="H736" s="46"/>
      <c r="L736" s="46"/>
      <c r="N736" s="48"/>
    </row>
    <row r="737" customFormat="false" ht="15.75" hidden="false" customHeight="false" outlineLevel="0" collapsed="false">
      <c r="G737" s="46"/>
      <c r="H737" s="46"/>
      <c r="L737" s="46"/>
      <c r="N737" s="48"/>
    </row>
    <row r="738" customFormat="false" ht="15.75" hidden="false" customHeight="false" outlineLevel="0" collapsed="false">
      <c r="G738" s="46"/>
      <c r="H738" s="46"/>
      <c r="L738" s="46"/>
      <c r="N738" s="48"/>
    </row>
    <row r="739" customFormat="false" ht="15.75" hidden="false" customHeight="false" outlineLevel="0" collapsed="false">
      <c r="G739" s="46"/>
      <c r="H739" s="46"/>
      <c r="L739" s="46"/>
      <c r="N739" s="48"/>
    </row>
    <row r="740" customFormat="false" ht="15.75" hidden="false" customHeight="false" outlineLevel="0" collapsed="false">
      <c r="G740" s="46"/>
      <c r="H740" s="46"/>
      <c r="L740" s="46"/>
      <c r="N740" s="48"/>
    </row>
    <row r="741" customFormat="false" ht="15.75" hidden="false" customHeight="false" outlineLevel="0" collapsed="false">
      <c r="G741" s="46"/>
      <c r="H741" s="46"/>
      <c r="L741" s="46"/>
      <c r="N741" s="48"/>
    </row>
    <row r="742" customFormat="false" ht="15.75" hidden="false" customHeight="false" outlineLevel="0" collapsed="false">
      <c r="G742" s="46"/>
      <c r="H742" s="46"/>
      <c r="L742" s="46"/>
      <c r="N742" s="48"/>
    </row>
    <row r="743" customFormat="false" ht="15.75" hidden="false" customHeight="false" outlineLevel="0" collapsed="false">
      <c r="G743" s="46"/>
      <c r="H743" s="46"/>
      <c r="L743" s="46"/>
      <c r="N743" s="48"/>
    </row>
    <row r="744" customFormat="false" ht="15.75" hidden="false" customHeight="false" outlineLevel="0" collapsed="false">
      <c r="G744" s="46"/>
      <c r="H744" s="46"/>
      <c r="L744" s="46"/>
      <c r="N744" s="48"/>
    </row>
    <row r="745" customFormat="false" ht="15.75" hidden="false" customHeight="false" outlineLevel="0" collapsed="false">
      <c r="G745" s="46"/>
      <c r="H745" s="46"/>
      <c r="L745" s="46"/>
      <c r="N745" s="48"/>
    </row>
    <row r="746" customFormat="false" ht="15.75" hidden="false" customHeight="false" outlineLevel="0" collapsed="false">
      <c r="G746" s="46"/>
      <c r="H746" s="46"/>
      <c r="L746" s="46"/>
      <c r="N746" s="48"/>
    </row>
    <row r="747" customFormat="false" ht="15.75" hidden="false" customHeight="false" outlineLevel="0" collapsed="false">
      <c r="G747" s="46"/>
      <c r="H747" s="46"/>
      <c r="L747" s="46"/>
      <c r="N747" s="48"/>
    </row>
    <row r="748" customFormat="false" ht="15.75" hidden="false" customHeight="false" outlineLevel="0" collapsed="false">
      <c r="G748" s="46"/>
      <c r="H748" s="46"/>
      <c r="L748" s="46"/>
      <c r="N748" s="48"/>
    </row>
    <row r="749" customFormat="false" ht="15.75" hidden="false" customHeight="false" outlineLevel="0" collapsed="false">
      <c r="G749" s="46"/>
      <c r="H749" s="46"/>
      <c r="L749" s="46"/>
      <c r="N749" s="48"/>
    </row>
    <row r="750" customFormat="false" ht="15.75" hidden="false" customHeight="false" outlineLevel="0" collapsed="false">
      <c r="G750" s="46"/>
      <c r="H750" s="46"/>
      <c r="L750" s="46"/>
      <c r="N750" s="48"/>
    </row>
    <row r="751" customFormat="false" ht="15.75" hidden="false" customHeight="false" outlineLevel="0" collapsed="false">
      <c r="G751" s="46"/>
      <c r="H751" s="46"/>
      <c r="L751" s="46"/>
      <c r="N751" s="48"/>
    </row>
    <row r="752" customFormat="false" ht="15.75" hidden="false" customHeight="false" outlineLevel="0" collapsed="false">
      <c r="G752" s="46"/>
      <c r="H752" s="46"/>
      <c r="L752" s="46"/>
      <c r="N752" s="48"/>
    </row>
    <row r="753" customFormat="false" ht="15.75" hidden="false" customHeight="false" outlineLevel="0" collapsed="false">
      <c r="G753" s="46"/>
      <c r="H753" s="46"/>
      <c r="L753" s="46"/>
      <c r="N753" s="48"/>
    </row>
    <row r="754" customFormat="false" ht="15.75" hidden="false" customHeight="false" outlineLevel="0" collapsed="false">
      <c r="G754" s="46"/>
      <c r="H754" s="46"/>
      <c r="L754" s="46"/>
      <c r="N754" s="48"/>
    </row>
    <row r="755" customFormat="false" ht="15.75" hidden="false" customHeight="false" outlineLevel="0" collapsed="false">
      <c r="G755" s="46"/>
      <c r="H755" s="46"/>
      <c r="L755" s="46"/>
      <c r="N755" s="48"/>
    </row>
    <row r="756" customFormat="false" ht="15.75" hidden="false" customHeight="false" outlineLevel="0" collapsed="false">
      <c r="G756" s="46"/>
      <c r="H756" s="46"/>
      <c r="L756" s="46"/>
      <c r="N756" s="48"/>
    </row>
    <row r="757" customFormat="false" ht="15.75" hidden="false" customHeight="false" outlineLevel="0" collapsed="false">
      <c r="G757" s="46"/>
      <c r="H757" s="46"/>
      <c r="L757" s="46"/>
      <c r="N757" s="48"/>
    </row>
    <row r="758" customFormat="false" ht="15.75" hidden="false" customHeight="false" outlineLevel="0" collapsed="false">
      <c r="G758" s="46"/>
      <c r="H758" s="46"/>
      <c r="L758" s="46"/>
      <c r="N758" s="48"/>
    </row>
    <row r="759" customFormat="false" ht="15.75" hidden="false" customHeight="false" outlineLevel="0" collapsed="false">
      <c r="G759" s="46"/>
      <c r="H759" s="46"/>
      <c r="L759" s="46"/>
      <c r="N759" s="48"/>
    </row>
    <row r="760" customFormat="false" ht="15.75" hidden="false" customHeight="false" outlineLevel="0" collapsed="false">
      <c r="G760" s="46"/>
      <c r="H760" s="46"/>
      <c r="L760" s="46"/>
      <c r="N760" s="48"/>
    </row>
    <row r="761" customFormat="false" ht="15.75" hidden="false" customHeight="false" outlineLevel="0" collapsed="false">
      <c r="G761" s="46"/>
      <c r="H761" s="46"/>
      <c r="L761" s="46"/>
      <c r="N761" s="48"/>
    </row>
    <row r="762" customFormat="false" ht="15.75" hidden="false" customHeight="false" outlineLevel="0" collapsed="false">
      <c r="G762" s="46"/>
      <c r="H762" s="46"/>
      <c r="L762" s="46"/>
      <c r="N762" s="48"/>
    </row>
    <row r="763" customFormat="false" ht="15.75" hidden="false" customHeight="false" outlineLevel="0" collapsed="false">
      <c r="G763" s="46"/>
      <c r="H763" s="46"/>
      <c r="L763" s="46"/>
      <c r="N763" s="48"/>
    </row>
    <row r="764" customFormat="false" ht="15.75" hidden="false" customHeight="false" outlineLevel="0" collapsed="false">
      <c r="G764" s="46"/>
      <c r="H764" s="46"/>
      <c r="L764" s="46"/>
      <c r="N764" s="48"/>
    </row>
    <row r="765" customFormat="false" ht="15.75" hidden="false" customHeight="false" outlineLevel="0" collapsed="false">
      <c r="G765" s="46"/>
      <c r="H765" s="46"/>
      <c r="L765" s="46"/>
      <c r="N765" s="48"/>
    </row>
    <row r="766" customFormat="false" ht="15.75" hidden="false" customHeight="false" outlineLevel="0" collapsed="false">
      <c r="G766" s="46"/>
      <c r="H766" s="46"/>
      <c r="L766" s="46"/>
      <c r="N766" s="48"/>
    </row>
    <row r="767" customFormat="false" ht="15.75" hidden="false" customHeight="false" outlineLevel="0" collapsed="false">
      <c r="G767" s="46"/>
      <c r="H767" s="46"/>
      <c r="L767" s="46"/>
      <c r="N767" s="48"/>
    </row>
    <row r="768" customFormat="false" ht="15.75" hidden="false" customHeight="false" outlineLevel="0" collapsed="false">
      <c r="G768" s="46"/>
      <c r="H768" s="46"/>
      <c r="L768" s="46"/>
      <c r="N768" s="48"/>
    </row>
    <row r="769" customFormat="false" ht="15.75" hidden="false" customHeight="false" outlineLevel="0" collapsed="false">
      <c r="G769" s="46"/>
      <c r="H769" s="46"/>
      <c r="L769" s="46"/>
      <c r="N769" s="48"/>
    </row>
    <row r="770" customFormat="false" ht="15.75" hidden="false" customHeight="false" outlineLevel="0" collapsed="false">
      <c r="G770" s="46"/>
      <c r="H770" s="46"/>
      <c r="L770" s="46"/>
      <c r="N770" s="48"/>
    </row>
    <row r="771" customFormat="false" ht="15.75" hidden="false" customHeight="false" outlineLevel="0" collapsed="false">
      <c r="G771" s="46"/>
      <c r="H771" s="46"/>
      <c r="L771" s="46"/>
      <c r="N771" s="48"/>
    </row>
    <row r="772" customFormat="false" ht="15.75" hidden="false" customHeight="false" outlineLevel="0" collapsed="false">
      <c r="G772" s="46"/>
      <c r="H772" s="46"/>
      <c r="L772" s="46"/>
      <c r="N772" s="48"/>
    </row>
    <row r="773" customFormat="false" ht="15.75" hidden="false" customHeight="false" outlineLevel="0" collapsed="false">
      <c r="G773" s="46"/>
      <c r="H773" s="46"/>
      <c r="L773" s="46"/>
      <c r="N773" s="48"/>
    </row>
    <row r="774" customFormat="false" ht="15.75" hidden="false" customHeight="false" outlineLevel="0" collapsed="false">
      <c r="G774" s="46"/>
      <c r="H774" s="46"/>
      <c r="L774" s="46"/>
      <c r="N774" s="48"/>
    </row>
    <row r="775" customFormat="false" ht="15.75" hidden="false" customHeight="false" outlineLevel="0" collapsed="false">
      <c r="G775" s="46"/>
      <c r="H775" s="46"/>
      <c r="L775" s="46"/>
      <c r="N775" s="48"/>
    </row>
    <row r="776" customFormat="false" ht="15.75" hidden="false" customHeight="false" outlineLevel="0" collapsed="false">
      <c r="G776" s="46"/>
      <c r="H776" s="46"/>
      <c r="L776" s="46"/>
      <c r="N776" s="48"/>
    </row>
    <row r="777" customFormat="false" ht="15.75" hidden="false" customHeight="false" outlineLevel="0" collapsed="false">
      <c r="G777" s="46"/>
      <c r="H777" s="46"/>
      <c r="L777" s="46"/>
      <c r="N777" s="48"/>
    </row>
    <row r="778" customFormat="false" ht="15.75" hidden="false" customHeight="false" outlineLevel="0" collapsed="false">
      <c r="G778" s="46"/>
      <c r="H778" s="46"/>
      <c r="L778" s="46"/>
      <c r="N778" s="48"/>
    </row>
    <row r="779" customFormat="false" ht="15.75" hidden="false" customHeight="false" outlineLevel="0" collapsed="false">
      <c r="G779" s="46"/>
      <c r="H779" s="46"/>
      <c r="L779" s="46"/>
      <c r="N779" s="48"/>
    </row>
    <row r="780" customFormat="false" ht="15.75" hidden="false" customHeight="false" outlineLevel="0" collapsed="false">
      <c r="G780" s="46"/>
      <c r="H780" s="46"/>
      <c r="L780" s="46"/>
      <c r="N780" s="48"/>
    </row>
    <row r="781" customFormat="false" ht="15.75" hidden="false" customHeight="false" outlineLevel="0" collapsed="false">
      <c r="G781" s="46"/>
      <c r="H781" s="46"/>
      <c r="L781" s="46"/>
      <c r="N781" s="48"/>
    </row>
    <row r="782" customFormat="false" ht="15.75" hidden="false" customHeight="false" outlineLevel="0" collapsed="false">
      <c r="G782" s="46"/>
      <c r="H782" s="46"/>
      <c r="L782" s="46"/>
      <c r="N782" s="48"/>
    </row>
    <row r="783" customFormat="false" ht="15.75" hidden="false" customHeight="false" outlineLevel="0" collapsed="false">
      <c r="G783" s="46"/>
      <c r="H783" s="46"/>
      <c r="L783" s="46"/>
      <c r="N783" s="48"/>
    </row>
    <row r="784" customFormat="false" ht="15.75" hidden="false" customHeight="false" outlineLevel="0" collapsed="false">
      <c r="G784" s="46"/>
      <c r="H784" s="46"/>
      <c r="L784" s="46"/>
      <c r="N784" s="48"/>
    </row>
    <row r="785" customFormat="false" ht="15.75" hidden="false" customHeight="false" outlineLevel="0" collapsed="false">
      <c r="G785" s="46"/>
      <c r="H785" s="46"/>
      <c r="L785" s="46"/>
      <c r="N785" s="48"/>
    </row>
    <row r="786" customFormat="false" ht="15.75" hidden="false" customHeight="false" outlineLevel="0" collapsed="false">
      <c r="G786" s="46"/>
      <c r="H786" s="46"/>
      <c r="L786" s="46"/>
      <c r="N786" s="48"/>
    </row>
    <row r="787" customFormat="false" ht="15.75" hidden="false" customHeight="false" outlineLevel="0" collapsed="false">
      <c r="G787" s="46"/>
      <c r="H787" s="46"/>
      <c r="L787" s="46"/>
      <c r="N787" s="48"/>
    </row>
    <row r="788" customFormat="false" ht="15.75" hidden="false" customHeight="false" outlineLevel="0" collapsed="false">
      <c r="G788" s="46"/>
      <c r="H788" s="46"/>
      <c r="L788" s="46"/>
      <c r="N788" s="48"/>
    </row>
    <row r="789" customFormat="false" ht="15.75" hidden="false" customHeight="false" outlineLevel="0" collapsed="false">
      <c r="G789" s="46"/>
      <c r="H789" s="46"/>
      <c r="L789" s="46"/>
      <c r="N789" s="48"/>
    </row>
    <row r="790" customFormat="false" ht="15.75" hidden="false" customHeight="false" outlineLevel="0" collapsed="false">
      <c r="G790" s="46"/>
      <c r="H790" s="46"/>
      <c r="L790" s="46"/>
      <c r="N790" s="48"/>
    </row>
    <row r="791" customFormat="false" ht="15.75" hidden="false" customHeight="false" outlineLevel="0" collapsed="false">
      <c r="G791" s="46"/>
      <c r="H791" s="46"/>
      <c r="L791" s="46"/>
      <c r="N791" s="48"/>
    </row>
    <row r="792" customFormat="false" ht="15.75" hidden="false" customHeight="false" outlineLevel="0" collapsed="false">
      <c r="G792" s="46"/>
      <c r="H792" s="46"/>
      <c r="L792" s="46"/>
      <c r="N792" s="48"/>
    </row>
    <row r="793" customFormat="false" ht="15.75" hidden="false" customHeight="false" outlineLevel="0" collapsed="false">
      <c r="G793" s="46"/>
      <c r="H793" s="46"/>
      <c r="L793" s="46"/>
      <c r="N793" s="48"/>
    </row>
    <row r="794" customFormat="false" ht="15.75" hidden="false" customHeight="false" outlineLevel="0" collapsed="false">
      <c r="G794" s="46"/>
      <c r="H794" s="46"/>
      <c r="L794" s="46"/>
      <c r="N794" s="48"/>
    </row>
    <row r="795" customFormat="false" ht="15.75" hidden="false" customHeight="false" outlineLevel="0" collapsed="false">
      <c r="G795" s="46"/>
      <c r="H795" s="46"/>
      <c r="L795" s="46"/>
      <c r="N795" s="48"/>
    </row>
    <row r="796" customFormat="false" ht="15.75" hidden="false" customHeight="false" outlineLevel="0" collapsed="false">
      <c r="G796" s="46"/>
      <c r="H796" s="46"/>
      <c r="L796" s="46"/>
      <c r="N796" s="48"/>
    </row>
    <row r="797" customFormat="false" ht="15.75" hidden="false" customHeight="false" outlineLevel="0" collapsed="false">
      <c r="G797" s="46"/>
      <c r="H797" s="46"/>
      <c r="L797" s="46"/>
      <c r="N797" s="48"/>
    </row>
    <row r="798" customFormat="false" ht="15.75" hidden="false" customHeight="false" outlineLevel="0" collapsed="false">
      <c r="G798" s="46"/>
      <c r="H798" s="46"/>
      <c r="L798" s="46"/>
      <c r="N798" s="48"/>
    </row>
    <row r="799" customFormat="false" ht="15.75" hidden="false" customHeight="false" outlineLevel="0" collapsed="false">
      <c r="G799" s="46"/>
      <c r="H799" s="46"/>
      <c r="L799" s="46"/>
      <c r="N799" s="48"/>
    </row>
    <row r="800" customFormat="false" ht="15.75" hidden="false" customHeight="false" outlineLevel="0" collapsed="false">
      <c r="G800" s="46"/>
      <c r="H800" s="46"/>
      <c r="L800" s="46"/>
      <c r="N800" s="48"/>
    </row>
    <row r="801" customFormat="false" ht="15.75" hidden="false" customHeight="false" outlineLevel="0" collapsed="false">
      <c r="G801" s="46"/>
      <c r="H801" s="46"/>
      <c r="L801" s="46"/>
      <c r="N801" s="48"/>
    </row>
    <row r="802" customFormat="false" ht="15.75" hidden="false" customHeight="false" outlineLevel="0" collapsed="false">
      <c r="G802" s="46"/>
      <c r="H802" s="46"/>
      <c r="L802" s="46"/>
      <c r="N802" s="48"/>
    </row>
    <row r="803" customFormat="false" ht="15.75" hidden="false" customHeight="false" outlineLevel="0" collapsed="false">
      <c r="G803" s="46"/>
      <c r="H803" s="46"/>
      <c r="L803" s="46"/>
      <c r="N803" s="48"/>
    </row>
    <row r="804" customFormat="false" ht="15.75" hidden="false" customHeight="false" outlineLevel="0" collapsed="false">
      <c r="G804" s="46"/>
      <c r="H804" s="46"/>
      <c r="L804" s="46"/>
      <c r="N804" s="48"/>
    </row>
    <row r="805" customFormat="false" ht="15.75" hidden="false" customHeight="false" outlineLevel="0" collapsed="false">
      <c r="G805" s="46"/>
      <c r="H805" s="46"/>
      <c r="L805" s="46"/>
      <c r="N805" s="48"/>
    </row>
    <row r="806" customFormat="false" ht="15.75" hidden="false" customHeight="false" outlineLevel="0" collapsed="false">
      <c r="G806" s="46"/>
      <c r="H806" s="46"/>
      <c r="L806" s="46"/>
      <c r="N806" s="48"/>
    </row>
    <row r="807" customFormat="false" ht="15.75" hidden="false" customHeight="false" outlineLevel="0" collapsed="false">
      <c r="G807" s="46"/>
      <c r="H807" s="46"/>
      <c r="L807" s="46"/>
      <c r="N807" s="48"/>
    </row>
    <row r="808" customFormat="false" ht="15.75" hidden="false" customHeight="false" outlineLevel="0" collapsed="false">
      <c r="G808" s="46"/>
      <c r="H808" s="46"/>
      <c r="L808" s="46"/>
      <c r="N808" s="48"/>
    </row>
    <row r="809" customFormat="false" ht="15.75" hidden="false" customHeight="false" outlineLevel="0" collapsed="false">
      <c r="G809" s="46"/>
      <c r="H809" s="46"/>
      <c r="L809" s="46"/>
      <c r="N809" s="48"/>
    </row>
    <row r="810" customFormat="false" ht="15.75" hidden="false" customHeight="false" outlineLevel="0" collapsed="false">
      <c r="G810" s="46"/>
      <c r="H810" s="46"/>
      <c r="L810" s="46"/>
      <c r="N810" s="48"/>
    </row>
    <row r="811" customFormat="false" ht="15.75" hidden="false" customHeight="false" outlineLevel="0" collapsed="false">
      <c r="G811" s="46"/>
      <c r="H811" s="46"/>
      <c r="L811" s="46"/>
      <c r="N811" s="48"/>
    </row>
    <row r="812" customFormat="false" ht="15.75" hidden="false" customHeight="false" outlineLevel="0" collapsed="false">
      <c r="G812" s="46"/>
      <c r="H812" s="46"/>
      <c r="L812" s="46"/>
      <c r="N812" s="48"/>
    </row>
    <row r="813" customFormat="false" ht="15.75" hidden="false" customHeight="false" outlineLevel="0" collapsed="false">
      <c r="G813" s="46"/>
      <c r="H813" s="46"/>
      <c r="L813" s="46"/>
      <c r="N813" s="48"/>
    </row>
    <row r="814" customFormat="false" ht="15.75" hidden="false" customHeight="false" outlineLevel="0" collapsed="false">
      <c r="G814" s="46"/>
      <c r="H814" s="46"/>
      <c r="L814" s="46"/>
      <c r="N814" s="48"/>
    </row>
    <row r="815" customFormat="false" ht="15.75" hidden="false" customHeight="false" outlineLevel="0" collapsed="false">
      <c r="G815" s="46"/>
      <c r="H815" s="46"/>
      <c r="L815" s="46"/>
      <c r="N815" s="48"/>
    </row>
    <row r="816" customFormat="false" ht="15.75" hidden="false" customHeight="false" outlineLevel="0" collapsed="false">
      <c r="G816" s="46"/>
      <c r="H816" s="46"/>
      <c r="L816" s="46"/>
      <c r="N816" s="48"/>
    </row>
    <row r="817" customFormat="false" ht="15.75" hidden="false" customHeight="false" outlineLevel="0" collapsed="false">
      <c r="G817" s="46"/>
      <c r="H817" s="46"/>
      <c r="L817" s="46"/>
      <c r="N817" s="48"/>
    </row>
    <row r="818" customFormat="false" ht="15.75" hidden="false" customHeight="false" outlineLevel="0" collapsed="false">
      <c r="G818" s="46"/>
      <c r="H818" s="46"/>
      <c r="L818" s="46"/>
      <c r="N818" s="48"/>
    </row>
    <row r="819" customFormat="false" ht="15.75" hidden="false" customHeight="false" outlineLevel="0" collapsed="false">
      <c r="G819" s="46"/>
      <c r="H819" s="46"/>
      <c r="L819" s="46"/>
      <c r="N819" s="48"/>
    </row>
    <row r="820" customFormat="false" ht="15.75" hidden="false" customHeight="false" outlineLevel="0" collapsed="false">
      <c r="G820" s="46"/>
      <c r="H820" s="46"/>
      <c r="L820" s="46"/>
      <c r="N820" s="48"/>
    </row>
    <row r="821" customFormat="false" ht="15.75" hidden="false" customHeight="false" outlineLevel="0" collapsed="false">
      <c r="G821" s="46"/>
      <c r="H821" s="46"/>
      <c r="L821" s="46"/>
      <c r="N821" s="48"/>
    </row>
    <row r="822" customFormat="false" ht="15.75" hidden="false" customHeight="false" outlineLevel="0" collapsed="false">
      <c r="G822" s="46"/>
      <c r="H822" s="46"/>
      <c r="L822" s="46"/>
      <c r="N822" s="48"/>
    </row>
    <row r="823" customFormat="false" ht="15.75" hidden="false" customHeight="false" outlineLevel="0" collapsed="false">
      <c r="G823" s="46"/>
      <c r="H823" s="46"/>
      <c r="L823" s="46"/>
      <c r="N823" s="48"/>
    </row>
    <row r="824" customFormat="false" ht="15.75" hidden="false" customHeight="false" outlineLevel="0" collapsed="false">
      <c r="G824" s="46"/>
      <c r="H824" s="46"/>
      <c r="L824" s="46"/>
      <c r="N824" s="48"/>
    </row>
    <row r="825" customFormat="false" ht="15.75" hidden="false" customHeight="false" outlineLevel="0" collapsed="false">
      <c r="G825" s="46"/>
      <c r="H825" s="46"/>
      <c r="L825" s="46"/>
      <c r="N825" s="48"/>
    </row>
    <row r="826" customFormat="false" ht="15.75" hidden="false" customHeight="false" outlineLevel="0" collapsed="false">
      <c r="G826" s="46"/>
      <c r="H826" s="46"/>
      <c r="L826" s="46"/>
      <c r="N826" s="48"/>
    </row>
    <row r="827" customFormat="false" ht="15.75" hidden="false" customHeight="false" outlineLevel="0" collapsed="false">
      <c r="G827" s="46"/>
      <c r="H827" s="46"/>
      <c r="L827" s="46"/>
      <c r="N827" s="48"/>
    </row>
    <row r="828" customFormat="false" ht="15.75" hidden="false" customHeight="false" outlineLevel="0" collapsed="false">
      <c r="G828" s="46"/>
      <c r="H828" s="46"/>
      <c r="L828" s="46"/>
      <c r="N828" s="48"/>
    </row>
    <row r="829" customFormat="false" ht="15.75" hidden="false" customHeight="false" outlineLevel="0" collapsed="false">
      <c r="G829" s="46"/>
      <c r="H829" s="46"/>
      <c r="L829" s="46"/>
      <c r="N829" s="48"/>
    </row>
    <row r="830" customFormat="false" ht="15.75" hidden="false" customHeight="false" outlineLevel="0" collapsed="false">
      <c r="G830" s="46"/>
      <c r="H830" s="46"/>
      <c r="L830" s="46"/>
      <c r="N830" s="48"/>
    </row>
    <row r="831" customFormat="false" ht="15.75" hidden="false" customHeight="false" outlineLevel="0" collapsed="false">
      <c r="G831" s="46"/>
      <c r="H831" s="46"/>
      <c r="L831" s="46"/>
      <c r="N831" s="48"/>
    </row>
    <row r="832" customFormat="false" ht="15.75" hidden="false" customHeight="false" outlineLevel="0" collapsed="false">
      <c r="G832" s="46"/>
      <c r="H832" s="46"/>
      <c r="L832" s="46"/>
      <c r="N832" s="48"/>
    </row>
    <row r="833" customFormat="false" ht="15.75" hidden="false" customHeight="false" outlineLevel="0" collapsed="false">
      <c r="G833" s="46"/>
      <c r="H833" s="46"/>
      <c r="L833" s="46"/>
      <c r="N833" s="48"/>
    </row>
    <row r="834" customFormat="false" ht="15.75" hidden="false" customHeight="false" outlineLevel="0" collapsed="false">
      <c r="G834" s="46"/>
      <c r="H834" s="46"/>
      <c r="L834" s="46"/>
      <c r="N834" s="48"/>
    </row>
    <row r="835" customFormat="false" ht="15.75" hidden="false" customHeight="false" outlineLevel="0" collapsed="false">
      <c r="G835" s="46"/>
      <c r="H835" s="46"/>
      <c r="L835" s="46"/>
      <c r="N835" s="48"/>
    </row>
    <row r="836" customFormat="false" ht="15.75" hidden="false" customHeight="false" outlineLevel="0" collapsed="false">
      <c r="G836" s="46"/>
      <c r="H836" s="46"/>
      <c r="L836" s="46"/>
      <c r="N836" s="48"/>
    </row>
    <row r="837" customFormat="false" ht="15.75" hidden="false" customHeight="false" outlineLevel="0" collapsed="false">
      <c r="G837" s="46"/>
      <c r="H837" s="46"/>
      <c r="L837" s="46"/>
      <c r="N837" s="48"/>
    </row>
    <row r="838" customFormat="false" ht="15.75" hidden="false" customHeight="false" outlineLevel="0" collapsed="false">
      <c r="G838" s="46"/>
      <c r="H838" s="46"/>
      <c r="L838" s="46"/>
      <c r="N838" s="48"/>
    </row>
    <row r="839" customFormat="false" ht="15.75" hidden="false" customHeight="false" outlineLevel="0" collapsed="false">
      <c r="G839" s="46"/>
      <c r="H839" s="46"/>
      <c r="L839" s="46"/>
      <c r="N839" s="48"/>
    </row>
    <row r="840" customFormat="false" ht="15.75" hidden="false" customHeight="false" outlineLevel="0" collapsed="false">
      <c r="G840" s="46"/>
      <c r="H840" s="46"/>
      <c r="L840" s="46"/>
      <c r="N840" s="48"/>
    </row>
    <row r="841" customFormat="false" ht="15.75" hidden="false" customHeight="false" outlineLevel="0" collapsed="false">
      <c r="G841" s="46"/>
      <c r="H841" s="46"/>
      <c r="L841" s="46"/>
      <c r="N841" s="48"/>
    </row>
    <row r="842" customFormat="false" ht="15.75" hidden="false" customHeight="false" outlineLevel="0" collapsed="false">
      <c r="G842" s="46"/>
      <c r="H842" s="46"/>
      <c r="L842" s="46"/>
      <c r="N842" s="48"/>
    </row>
    <row r="843" customFormat="false" ht="15.75" hidden="false" customHeight="false" outlineLevel="0" collapsed="false">
      <c r="G843" s="46"/>
      <c r="H843" s="46"/>
      <c r="L843" s="46"/>
      <c r="N843" s="48"/>
    </row>
    <row r="844" customFormat="false" ht="15.75" hidden="false" customHeight="false" outlineLevel="0" collapsed="false">
      <c r="G844" s="46"/>
      <c r="H844" s="46"/>
      <c r="L844" s="46"/>
      <c r="N844" s="48"/>
    </row>
    <row r="845" customFormat="false" ht="15.75" hidden="false" customHeight="false" outlineLevel="0" collapsed="false">
      <c r="G845" s="46"/>
      <c r="H845" s="46"/>
      <c r="L845" s="46"/>
      <c r="N845" s="48"/>
    </row>
    <row r="846" customFormat="false" ht="15.75" hidden="false" customHeight="false" outlineLevel="0" collapsed="false">
      <c r="G846" s="46"/>
      <c r="H846" s="46"/>
      <c r="L846" s="46"/>
      <c r="N846" s="48"/>
    </row>
    <row r="847" customFormat="false" ht="15.75" hidden="false" customHeight="false" outlineLevel="0" collapsed="false">
      <c r="G847" s="46"/>
      <c r="H847" s="46"/>
      <c r="L847" s="46"/>
      <c r="N847" s="48"/>
    </row>
    <row r="848" customFormat="false" ht="15.75" hidden="false" customHeight="false" outlineLevel="0" collapsed="false">
      <c r="G848" s="46"/>
      <c r="H848" s="46"/>
      <c r="L848" s="46"/>
      <c r="N848" s="48"/>
    </row>
    <row r="849" customFormat="false" ht="15.75" hidden="false" customHeight="false" outlineLevel="0" collapsed="false">
      <c r="G849" s="46"/>
      <c r="H849" s="46"/>
      <c r="L849" s="46"/>
      <c r="N849" s="48"/>
    </row>
    <row r="850" customFormat="false" ht="15.75" hidden="false" customHeight="false" outlineLevel="0" collapsed="false">
      <c r="G850" s="46"/>
      <c r="H850" s="46"/>
      <c r="L850" s="46"/>
      <c r="N850" s="48"/>
    </row>
    <row r="851" customFormat="false" ht="15.75" hidden="false" customHeight="false" outlineLevel="0" collapsed="false">
      <c r="G851" s="46"/>
      <c r="H851" s="46"/>
      <c r="L851" s="46"/>
      <c r="N851" s="48"/>
    </row>
    <row r="852" customFormat="false" ht="15.75" hidden="false" customHeight="false" outlineLevel="0" collapsed="false">
      <c r="G852" s="46"/>
      <c r="H852" s="46"/>
      <c r="L852" s="46"/>
      <c r="N852" s="48"/>
    </row>
    <row r="853" customFormat="false" ht="15.75" hidden="false" customHeight="false" outlineLevel="0" collapsed="false">
      <c r="G853" s="46"/>
      <c r="H853" s="46"/>
      <c r="L853" s="46"/>
      <c r="N853" s="48"/>
    </row>
    <row r="854" customFormat="false" ht="15.75" hidden="false" customHeight="false" outlineLevel="0" collapsed="false">
      <c r="G854" s="46"/>
      <c r="H854" s="46"/>
      <c r="L854" s="46"/>
      <c r="N854" s="48"/>
    </row>
    <row r="855" customFormat="false" ht="15.75" hidden="false" customHeight="false" outlineLevel="0" collapsed="false">
      <c r="G855" s="46"/>
      <c r="H855" s="46"/>
      <c r="L855" s="46"/>
      <c r="N855" s="48"/>
    </row>
    <row r="856" customFormat="false" ht="15.75" hidden="false" customHeight="false" outlineLevel="0" collapsed="false">
      <c r="G856" s="46"/>
      <c r="H856" s="46"/>
      <c r="L856" s="46"/>
      <c r="N856" s="48"/>
    </row>
    <row r="857" customFormat="false" ht="15.75" hidden="false" customHeight="false" outlineLevel="0" collapsed="false">
      <c r="G857" s="46"/>
      <c r="H857" s="46"/>
      <c r="L857" s="46"/>
      <c r="N857" s="48"/>
    </row>
    <row r="858" customFormat="false" ht="15.75" hidden="false" customHeight="false" outlineLevel="0" collapsed="false">
      <c r="G858" s="46"/>
      <c r="H858" s="46"/>
      <c r="L858" s="46"/>
      <c r="N858" s="48"/>
    </row>
    <row r="859" customFormat="false" ht="15.75" hidden="false" customHeight="false" outlineLevel="0" collapsed="false">
      <c r="G859" s="46"/>
      <c r="H859" s="46"/>
      <c r="L859" s="46"/>
      <c r="N859" s="48"/>
    </row>
    <row r="860" customFormat="false" ht="15.75" hidden="false" customHeight="false" outlineLevel="0" collapsed="false">
      <c r="G860" s="46"/>
      <c r="H860" s="46"/>
      <c r="L860" s="46"/>
      <c r="N860" s="48"/>
    </row>
    <row r="861" customFormat="false" ht="15.75" hidden="false" customHeight="false" outlineLevel="0" collapsed="false">
      <c r="G861" s="46"/>
      <c r="H861" s="46"/>
      <c r="L861" s="46"/>
      <c r="N861" s="48"/>
    </row>
    <row r="862" customFormat="false" ht="15.75" hidden="false" customHeight="false" outlineLevel="0" collapsed="false">
      <c r="G862" s="46"/>
      <c r="H862" s="46"/>
      <c r="L862" s="46"/>
      <c r="N862" s="48"/>
    </row>
    <row r="863" customFormat="false" ht="15.75" hidden="false" customHeight="false" outlineLevel="0" collapsed="false">
      <c r="G863" s="46"/>
      <c r="H863" s="46"/>
      <c r="L863" s="46"/>
      <c r="N863" s="48"/>
    </row>
    <row r="864" customFormat="false" ht="15.75" hidden="false" customHeight="false" outlineLevel="0" collapsed="false">
      <c r="G864" s="46"/>
      <c r="H864" s="46"/>
      <c r="L864" s="46"/>
      <c r="N864" s="48"/>
    </row>
    <row r="865" customFormat="false" ht="15.75" hidden="false" customHeight="false" outlineLevel="0" collapsed="false">
      <c r="G865" s="46"/>
      <c r="H865" s="46"/>
      <c r="L865" s="46"/>
      <c r="N865" s="48"/>
    </row>
    <row r="866" customFormat="false" ht="15.75" hidden="false" customHeight="false" outlineLevel="0" collapsed="false">
      <c r="G866" s="46"/>
      <c r="H866" s="46"/>
      <c r="L866" s="46"/>
      <c r="N866" s="48"/>
    </row>
    <row r="867" customFormat="false" ht="15.75" hidden="false" customHeight="false" outlineLevel="0" collapsed="false">
      <c r="G867" s="46"/>
      <c r="H867" s="46"/>
      <c r="L867" s="46"/>
      <c r="N867" s="48"/>
    </row>
    <row r="868" customFormat="false" ht="15.75" hidden="false" customHeight="false" outlineLevel="0" collapsed="false">
      <c r="G868" s="46"/>
      <c r="H868" s="46"/>
      <c r="L868" s="46"/>
      <c r="N868" s="48"/>
    </row>
    <row r="869" customFormat="false" ht="15.75" hidden="false" customHeight="false" outlineLevel="0" collapsed="false">
      <c r="G869" s="46"/>
      <c r="H869" s="46"/>
      <c r="L869" s="46"/>
      <c r="N869" s="48"/>
    </row>
    <row r="870" customFormat="false" ht="15.75" hidden="false" customHeight="false" outlineLevel="0" collapsed="false">
      <c r="G870" s="46"/>
      <c r="H870" s="46"/>
      <c r="L870" s="46"/>
      <c r="N870" s="48"/>
    </row>
    <row r="871" customFormat="false" ht="15.75" hidden="false" customHeight="false" outlineLevel="0" collapsed="false">
      <c r="G871" s="46"/>
      <c r="H871" s="46"/>
      <c r="L871" s="46"/>
      <c r="N871" s="48"/>
    </row>
    <row r="872" customFormat="false" ht="15.75" hidden="false" customHeight="false" outlineLevel="0" collapsed="false">
      <c r="G872" s="46"/>
      <c r="H872" s="46"/>
      <c r="L872" s="46"/>
      <c r="N872" s="48"/>
    </row>
    <row r="873" customFormat="false" ht="15.75" hidden="false" customHeight="false" outlineLevel="0" collapsed="false">
      <c r="G873" s="46"/>
      <c r="H873" s="46"/>
      <c r="L873" s="46"/>
      <c r="N873" s="48"/>
    </row>
    <row r="874" customFormat="false" ht="15.75" hidden="false" customHeight="false" outlineLevel="0" collapsed="false">
      <c r="G874" s="46"/>
      <c r="H874" s="46"/>
      <c r="L874" s="46"/>
      <c r="N874" s="48"/>
    </row>
    <row r="875" customFormat="false" ht="15.75" hidden="false" customHeight="false" outlineLevel="0" collapsed="false">
      <c r="G875" s="46"/>
      <c r="H875" s="46"/>
      <c r="L875" s="46"/>
      <c r="N875" s="48"/>
    </row>
    <row r="876" customFormat="false" ht="15.75" hidden="false" customHeight="false" outlineLevel="0" collapsed="false">
      <c r="G876" s="46"/>
      <c r="H876" s="46"/>
      <c r="L876" s="46"/>
      <c r="N876" s="48"/>
    </row>
    <row r="877" customFormat="false" ht="15.75" hidden="false" customHeight="false" outlineLevel="0" collapsed="false">
      <c r="G877" s="46"/>
      <c r="H877" s="46"/>
      <c r="L877" s="46"/>
      <c r="N877" s="48"/>
    </row>
    <row r="878" customFormat="false" ht="15.75" hidden="false" customHeight="false" outlineLevel="0" collapsed="false">
      <c r="G878" s="46"/>
      <c r="H878" s="46"/>
      <c r="L878" s="46"/>
      <c r="N878" s="48"/>
    </row>
    <row r="879" customFormat="false" ht="15.75" hidden="false" customHeight="false" outlineLevel="0" collapsed="false">
      <c r="G879" s="46"/>
      <c r="H879" s="46"/>
      <c r="L879" s="46"/>
      <c r="N879" s="48"/>
    </row>
    <row r="880" customFormat="false" ht="15.75" hidden="false" customHeight="false" outlineLevel="0" collapsed="false">
      <c r="G880" s="46"/>
      <c r="H880" s="46"/>
      <c r="L880" s="46"/>
      <c r="N880" s="48"/>
    </row>
    <row r="881" customFormat="false" ht="15.75" hidden="false" customHeight="false" outlineLevel="0" collapsed="false">
      <c r="G881" s="46"/>
      <c r="H881" s="46"/>
      <c r="L881" s="46"/>
      <c r="N881" s="48"/>
    </row>
    <row r="882" customFormat="false" ht="15.75" hidden="false" customHeight="false" outlineLevel="0" collapsed="false">
      <c r="G882" s="46"/>
      <c r="H882" s="46"/>
      <c r="L882" s="46"/>
      <c r="N882" s="48"/>
    </row>
    <row r="883" customFormat="false" ht="15.75" hidden="false" customHeight="false" outlineLevel="0" collapsed="false">
      <c r="G883" s="46"/>
      <c r="H883" s="46"/>
      <c r="L883" s="46"/>
      <c r="N883" s="48"/>
    </row>
    <row r="884" customFormat="false" ht="15.75" hidden="false" customHeight="false" outlineLevel="0" collapsed="false">
      <c r="G884" s="46"/>
      <c r="H884" s="46"/>
      <c r="L884" s="46"/>
      <c r="N884" s="48"/>
    </row>
    <row r="885" customFormat="false" ht="15.75" hidden="false" customHeight="false" outlineLevel="0" collapsed="false">
      <c r="G885" s="46"/>
      <c r="H885" s="46"/>
      <c r="L885" s="46"/>
      <c r="N885" s="48"/>
    </row>
    <row r="886" customFormat="false" ht="15.75" hidden="false" customHeight="false" outlineLevel="0" collapsed="false">
      <c r="G886" s="46"/>
      <c r="H886" s="46"/>
      <c r="L886" s="46"/>
      <c r="N886" s="48"/>
    </row>
    <row r="887" customFormat="false" ht="15.75" hidden="false" customHeight="false" outlineLevel="0" collapsed="false">
      <c r="G887" s="46"/>
      <c r="H887" s="46"/>
      <c r="L887" s="46"/>
      <c r="N887" s="48"/>
    </row>
    <row r="888" customFormat="false" ht="15.75" hidden="false" customHeight="false" outlineLevel="0" collapsed="false">
      <c r="G888" s="46"/>
      <c r="H888" s="46"/>
      <c r="L888" s="46"/>
      <c r="N888" s="48"/>
    </row>
    <row r="889" customFormat="false" ht="15.75" hidden="false" customHeight="false" outlineLevel="0" collapsed="false">
      <c r="G889" s="46"/>
      <c r="H889" s="46"/>
      <c r="L889" s="46"/>
      <c r="N889" s="48"/>
    </row>
    <row r="890" customFormat="false" ht="15.75" hidden="false" customHeight="false" outlineLevel="0" collapsed="false">
      <c r="G890" s="46"/>
      <c r="H890" s="46"/>
      <c r="L890" s="46"/>
      <c r="N890" s="48"/>
    </row>
    <row r="891" customFormat="false" ht="15.75" hidden="false" customHeight="false" outlineLevel="0" collapsed="false">
      <c r="G891" s="46"/>
      <c r="H891" s="46"/>
      <c r="L891" s="46"/>
      <c r="N891" s="48"/>
    </row>
    <row r="892" customFormat="false" ht="15.75" hidden="false" customHeight="false" outlineLevel="0" collapsed="false">
      <c r="G892" s="46"/>
      <c r="H892" s="46"/>
      <c r="L892" s="46"/>
      <c r="N892" s="48"/>
    </row>
    <row r="893" customFormat="false" ht="15.75" hidden="false" customHeight="false" outlineLevel="0" collapsed="false">
      <c r="G893" s="46"/>
      <c r="H893" s="46"/>
      <c r="L893" s="46"/>
      <c r="N893" s="48"/>
    </row>
    <row r="894" customFormat="false" ht="15.75" hidden="false" customHeight="false" outlineLevel="0" collapsed="false">
      <c r="G894" s="46"/>
      <c r="H894" s="46"/>
      <c r="L894" s="46"/>
      <c r="N894" s="48"/>
    </row>
    <row r="895" customFormat="false" ht="15.75" hidden="false" customHeight="false" outlineLevel="0" collapsed="false">
      <c r="G895" s="46"/>
      <c r="H895" s="46"/>
      <c r="L895" s="46"/>
      <c r="N895" s="48"/>
    </row>
    <row r="896" customFormat="false" ht="15.75" hidden="false" customHeight="false" outlineLevel="0" collapsed="false">
      <c r="G896" s="46"/>
      <c r="H896" s="46"/>
      <c r="L896" s="46"/>
      <c r="N896" s="48"/>
    </row>
    <row r="897" customFormat="false" ht="15.75" hidden="false" customHeight="false" outlineLevel="0" collapsed="false">
      <c r="G897" s="46"/>
      <c r="H897" s="46"/>
      <c r="L897" s="46"/>
      <c r="N897" s="48"/>
    </row>
    <row r="898" customFormat="false" ht="15.75" hidden="false" customHeight="false" outlineLevel="0" collapsed="false">
      <c r="G898" s="46"/>
      <c r="H898" s="46"/>
      <c r="L898" s="46"/>
      <c r="N898" s="48"/>
    </row>
    <row r="899" customFormat="false" ht="15.75" hidden="false" customHeight="false" outlineLevel="0" collapsed="false">
      <c r="G899" s="46"/>
      <c r="H899" s="46"/>
      <c r="L899" s="46"/>
      <c r="N899" s="48"/>
    </row>
    <row r="900" customFormat="false" ht="15.75" hidden="false" customHeight="false" outlineLevel="0" collapsed="false">
      <c r="G900" s="46"/>
      <c r="H900" s="46"/>
      <c r="L900" s="46"/>
      <c r="N900" s="48"/>
    </row>
    <row r="901" customFormat="false" ht="15.75" hidden="false" customHeight="false" outlineLevel="0" collapsed="false">
      <c r="G901" s="46"/>
      <c r="H901" s="46"/>
      <c r="L901" s="46"/>
      <c r="N901" s="48"/>
    </row>
    <row r="902" customFormat="false" ht="15.75" hidden="false" customHeight="false" outlineLevel="0" collapsed="false">
      <c r="G902" s="46"/>
      <c r="H902" s="46"/>
      <c r="L902" s="46"/>
      <c r="N902" s="48"/>
    </row>
    <row r="903" customFormat="false" ht="15.75" hidden="false" customHeight="false" outlineLevel="0" collapsed="false">
      <c r="G903" s="46"/>
      <c r="H903" s="46"/>
      <c r="L903" s="46"/>
      <c r="N903" s="48"/>
    </row>
    <row r="904" customFormat="false" ht="15.75" hidden="false" customHeight="false" outlineLevel="0" collapsed="false">
      <c r="G904" s="46"/>
      <c r="H904" s="46"/>
      <c r="L904" s="46"/>
      <c r="N904" s="48"/>
    </row>
    <row r="905" customFormat="false" ht="15.75" hidden="false" customHeight="false" outlineLevel="0" collapsed="false">
      <c r="G905" s="46"/>
      <c r="H905" s="46"/>
      <c r="L905" s="46"/>
      <c r="N905" s="48"/>
    </row>
    <row r="906" customFormat="false" ht="15.75" hidden="false" customHeight="false" outlineLevel="0" collapsed="false">
      <c r="G906" s="46"/>
      <c r="H906" s="46"/>
      <c r="L906" s="46"/>
      <c r="N906" s="48"/>
    </row>
    <row r="907" customFormat="false" ht="15.75" hidden="false" customHeight="false" outlineLevel="0" collapsed="false">
      <c r="G907" s="46"/>
      <c r="H907" s="46"/>
      <c r="L907" s="46"/>
      <c r="N907" s="48"/>
    </row>
    <row r="908" customFormat="false" ht="15.75" hidden="false" customHeight="false" outlineLevel="0" collapsed="false">
      <c r="G908" s="46"/>
      <c r="H908" s="46"/>
      <c r="L908" s="46"/>
      <c r="N908" s="48"/>
    </row>
    <row r="909" customFormat="false" ht="15.75" hidden="false" customHeight="false" outlineLevel="0" collapsed="false">
      <c r="G909" s="46"/>
      <c r="H909" s="46"/>
      <c r="L909" s="46"/>
      <c r="N909" s="48"/>
    </row>
    <row r="910" customFormat="false" ht="15.75" hidden="false" customHeight="false" outlineLevel="0" collapsed="false">
      <c r="G910" s="46"/>
      <c r="H910" s="46"/>
      <c r="L910" s="46"/>
      <c r="N910" s="48"/>
    </row>
    <row r="911" customFormat="false" ht="15.75" hidden="false" customHeight="false" outlineLevel="0" collapsed="false">
      <c r="G911" s="46"/>
      <c r="H911" s="46"/>
      <c r="L911" s="46"/>
      <c r="N911" s="48"/>
    </row>
    <row r="912" customFormat="false" ht="15.75" hidden="false" customHeight="false" outlineLevel="0" collapsed="false">
      <c r="G912" s="46"/>
      <c r="H912" s="46"/>
      <c r="L912" s="46"/>
      <c r="N912" s="48"/>
    </row>
    <row r="913" customFormat="false" ht="15.75" hidden="false" customHeight="false" outlineLevel="0" collapsed="false">
      <c r="G913" s="46"/>
      <c r="H913" s="46"/>
      <c r="L913" s="46"/>
      <c r="N913" s="48"/>
    </row>
    <row r="914" customFormat="false" ht="15.75" hidden="false" customHeight="false" outlineLevel="0" collapsed="false">
      <c r="G914" s="46"/>
      <c r="H914" s="46"/>
      <c r="L914" s="46"/>
      <c r="N914" s="48"/>
    </row>
    <row r="915" customFormat="false" ht="15.75" hidden="false" customHeight="false" outlineLevel="0" collapsed="false">
      <c r="G915" s="46"/>
      <c r="H915" s="46"/>
      <c r="L915" s="46"/>
      <c r="N915" s="48"/>
    </row>
    <row r="916" customFormat="false" ht="15.75" hidden="false" customHeight="false" outlineLevel="0" collapsed="false">
      <c r="G916" s="46"/>
      <c r="H916" s="46"/>
      <c r="L916" s="46"/>
      <c r="N916" s="48"/>
    </row>
    <row r="917" customFormat="false" ht="15.75" hidden="false" customHeight="false" outlineLevel="0" collapsed="false">
      <c r="G917" s="46"/>
      <c r="H917" s="46"/>
      <c r="L917" s="46"/>
      <c r="N917" s="48"/>
    </row>
    <row r="918" customFormat="false" ht="15.75" hidden="false" customHeight="false" outlineLevel="0" collapsed="false">
      <c r="G918" s="46"/>
      <c r="H918" s="46"/>
      <c r="L918" s="46"/>
      <c r="N918" s="48"/>
    </row>
    <row r="919" customFormat="false" ht="15.75" hidden="false" customHeight="false" outlineLevel="0" collapsed="false">
      <c r="G919" s="46"/>
      <c r="H919" s="46"/>
      <c r="L919" s="46"/>
      <c r="N919" s="48"/>
    </row>
    <row r="920" customFormat="false" ht="15.75" hidden="false" customHeight="false" outlineLevel="0" collapsed="false">
      <c r="G920" s="46"/>
      <c r="H920" s="46"/>
      <c r="L920" s="46"/>
      <c r="N920" s="48"/>
    </row>
    <row r="921" customFormat="false" ht="15.75" hidden="false" customHeight="false" outlineLevel="0" collapsed="false">
      <c r="G921" s="46"/>
      <c r="H921" s="46"/>
      <c r="L921" s="46"/>
      <c r="N921" s="48"/>
    </row>
    <row r="922" customFormat="false" ht="15.75" hidden="false" customHeight="false" outlineLevel="0" collapsed="false">
      <c r="G922" s="46"/>
      <c r="H922" s="46"/>
      <c r="L922" s="46"/>
      <c r="N922" s="48"/>
    </row>
    <row r="923" customFormat="false" ht="15.75" hidden="false" customHeight="false" outlineLevel="0" collapsed="false">
      <c r="G923" s="46"/>
      <c r="H923" s="46"/>
      <c r="L923" s="46"/>
      <c r="N923" s="48"/>
    </row>
    <row r="924" customFormat="false" ht="15.75" hidden="false" customHeight="false" outlineLevel="0" collapsed="false">
      <c r="G924" s="46"/>
      <c r="H924" s="46"/>
      <c r="L924" s="46"/>
      <c r="N924" s="48"/>
    </row>
    <row r="925" customFormat="false" ht="15.75" hidden="false" customHeight="false" outlineLevel="0" collapsed="false">
      <c r="G925" s="46"/>
      <c r="H925" s="46"/>
      <c r="L925" s="46"/>
      <c r="N925" s="48"/>
    </row>
    <row r="926" customFormat="false" ht="15.75" hidden="false" customHeight="false" outlineLevel="0" collapsed="false">
      <c r="G926" s="46"/>
      <c r="H926" s="46"/>
      <c r="L926" s="46"/>
      <c r="N926" s="48"/>
    </row>
    <row r="927" customFormat="false" ht="15.75" hidden="false" customHeight="false" outlineLevel="0" collapsed="false">
      <c r="G927" s="46"/>
      <c r="H927" s="46"/>
      <c r="L927" s="46"/>
      <c r="N927" s="48"/>
    </row>
    <row r="928" customFormat="false" ht="15.75" hidden="false" customHeight="false" outlineLevel="0" collapsed="false">
      <c r="G928" s="46"/>
      <c r="H928" s="46"/>
      <c r="L928" s="46"/>
      <c r="N928" s="48"/>
    </row>
    <row r="929" customFormat="false" ht="15.75" hidden="false" customHeight="false" outlineLevel="0" collapsed="false">
      <c r="G929" s="46"/>
      <c r="H929" s="46"/>
      <c r="L929" s="46"/>
      <c r="N929" s="48"/>
    </row>
    <row r="930" customFormat="false" ht="15.75" hidden="false" customHeight="false" outlineLevel="0" collapsed="false">
      <c r="G930" s="46"/>
      <c r="H930" s="46"/>
      <c r="L930" s="46"/>
      <c r="N930" s="48"/>
    </row>
    <row r="931" customFormat="false" ht="15.75" hidden="false" customHeight="false" outlineLevel="0" collapsed="false">
      <c r="G931" s="46"/>
      <c r="H931" s="46"/>
      <c r="L931" s="46"/>
      <c r="N931" s="48"/>
    </row>
    <row r="932" customFormat="false" ht="15.75" hidden="false" customHeight="false" outlineLevel="0" collapsed="false">
      <c r="G932" s="46"/>
      <c r="H932" s="46"/>
      <c r="L932" s="46"/>
      <c r="N932" s="48"/>
    </row>
    <row r="933" customFormat="false" ht="15.75" hidden="false" customHeight="false" outlineLevel="0" collapsed="false">
      <c r="G933" s="46"/>
      <c r="H933" s="46"/>
      <c r="L933" s="46"/>
      <c r="N933" s="48"/>
    </row>
    <row r="934" customFormat="false" ht="15.75" hidden="false" customHeight="false" outlineLevel="0" collapsed="false">
      <c r="G934" s="46"/>
      <c r="H934" s="46"/>
      <c r="L934" s="46"/>
      <c r="N934" s="48"/>
    </row>
    <row r="935" customFormat="false" ht="15.75" hidden="false" customHeight="false" outlineLevel="0" collapsed="false">
      <c r="G935" s="46"/>
      <c r="H935" s="46"/>
      <c r="L935" s="46"/>
      <c r="N935" s="48"/>
    </row>
    <row r="936" customFormat="false" ht="15.75" hidden="false" customHeight="false" outlineLevel="0" collapsed="false">
      <c r="G936" s="46"/>
      <c r="H936" s="46"/>
      <c r="L936" s="46"/>
      <c r="N936" s="48"/>
    </row>
    <row r="937" customFormat="false" ht="15.75" hidden="false" customHeight="false" outlineLevel="0" collapsed="false">
      <c r="G937" s="46"/>
      <c r="H937" s="46"/>
      <c r="L937" s="46"/>
      <c r="N937" s="48"/>
    </row>
    <row r="938" customFormat="false" ht="15.75" hidden="false" customHeight="false" outlineLevel="0" collapsed="false">
      <c r="G938" s="46"/>
      <c r="H938" s="46"/>
      <c r="L938" s="46"/>
      <c r="N938" s="48"/>
    </row>
    <row r="939" customFormat="false" ht="15.75" hidden="false" customHeight="false" outlineLevel="0" collapsed="false">
      <c r="G939" s="46"/>
      <c r="H939" s="46"/>
      <c r="L939" s="46"/>
      <c r="N939" s="48"/>
    </row>
    <row r="940" customFormat="false" ht="15.75" hidden="false" customHeight="false" outlineLevel="0" collapsed="false">
      <c r="G940" s="46"/>
      <c r="H940" s="46"/>
      <c r="L940" s="46"/>
      <c r="N940" s="48"/>
    </row>
    <row r="941" customFormat="false" ht="15.75" hidden="false" customHeight="false" outlineLevel="0" collapsed="false">
      <c r="G941" s="46"/>
      <c r="H941" s="46"/>
      <c r="L941" s="46"/>
      <c r="N941" s="48"/>
    </row>
    <row r="942" customFormat="false" ht="15.75" hidden="false" customHeight="false" outlineLevel="0" collapsed="false">
      <c r="G942" s="46"/>
      <c r="H942" s="46"/>
      <c r="L942" s="46"/>
      <c r="N942" s="48"/>
    </row>
    <row r="943" customFormat="false" ht="15.75" hidden="false" customHeight="false" outlineLevel="0" collapsed="false">
      <c r="G943" s="46"/>
      <c r="H943" s="46"/>
      <c r="L943" s="46"/>
      <c r="N943" s="48"/>
    </row>
    <row r="944" customFormat="false" ht="15.75" hidden="false" customHeight="false" outlineLevel="0" collapsed="false">
      <c r="G944" s="46"/>
      <c r="H944" s="46"/>
      <c r="L944" s="46"/>
      <c r="N944" s="48"/>
    </row>
    <row r="945" customFormat="false" ht="15.75" hidden="false" customHeight="false" outlineLevel="0" collapsed="false">
      <c r="G945" s="46"/>
      <c r="H945" s="46"/>
      <c r="L945" s="46"/>
      <c r="N945" s="48"/>
    </row>
    <row r="946" customFormat="false" ht="15.75" hidden="false" customHeight="false" outlineLevel="0" collapsed="false">
      <c r="G946" s="46"/>
      <c r="H946" s="46"/>
      <c r="L946" s="46"/>
      <c r="N946" s="48"/>
    </row>
    <row r="947" customFormat="false" ht="15.75" hidden="false" customHeight="false" outlineLevel="0" collapsed="false">
      <c r="G947" s="46"/>
      <c r="H947" s="46"/>
      <c r="L947" s="46"/>
      <c r="N947" s="48"/>
    </row>
    <row r="948" customFormat="false" ht="15.75" hidden="false" customHeight="false" outlineLevel="0" collapsed="false">
      <c r="G948" s="46"/>
      <c r="H948" s="46"/>
      <c r="L948" s="46"/>
      <c r="N948" s="48"/>
    </row>
    <row r="949" customFormat="false" ht="15.75" hidden="false" customHeight="false" outlineLevel="0" collapsed="false">
      <c r="G949" s="46"/>
      <c r="H949" s="46"/>
      <c r="L949" s="46"/>
      <c r="N949" s="48"/>
    </row>
    <row r="950" customFormat="false" ht="15.75" hidden="false" customHeight="false" outlineLevel="0" collapsed="false">
      <c r="G950" s="46"/>
      <c r="H950" s="46"/>
      <c r="L950" s="46"/>
      <c r="N950" s="48"/>
    </row>
    <row r="951" customFormat="false" ht="15.75" hidden="false" customHeight="false" outlineLevel="0" collapsed="false">
      <c r="G951" s="46"/>
      <c r="H951" s="46"/>
      <c r="L951" s="46"/>
      <c r="N951" s="48"/>
    </row>
    <row r="952" customFormat="false" ht="15.75" hidden="false" customHeight="false" outlineLevel="0" collapsed="false">
      <c r="G952" s="46"/>
      <c r="H952" s="46"/>
      <c r="L952" s="46"/>
      <c r="N952" s="48"/>
    </row>
    <row r="953" customFormat="false" ht="15.75" hidden="false" customHeight="false" outlineLevel="0" collapsed="false">
      <c r="G953" s="46"/>
      <c r="H953" s="46"/>
      <c r="L953" s="46"/>
      <c r="N953" s="48"/>
    </row>
    <row r="954" customFormat="false" ht="15.75" hidden="false" customHeight="false" outlineLevel="0" collapsed="false">
      <c r="G954" s="46"/>
      <c r="H954" s="46"/>
      <c r="L954" s="46"/>
      <c r="N954" s="48"/>
    </row>
    <row r="955" customFormat="false" ht="15.75" hidden="false" customHeight="false" outlineLevel="0" collapsed="false">
      <c r="G955" s="46"/>
      <c r="H955" s="46"/>
      <c r="L955" s="46"/>
      <c r="N955" s="48"/>
    </row>
    <row r="956" customFormat="false" ht="15.75" hidden="false" customHeight="false" outlineLevel="0" collapsed="false">
      <c r="G956" s="46"/>
      <c r="H956" s="46"/>
      <c r="L956" s="46"/>
      <c r="N956" s="48"/>
    </row>
    <row r="957" customFormat="false" ht="15.75" hidden="false" customHeight="false" outlineLevel="0" collapsed="false">
      <c r="G957" s="46"/>
      <c r="H957" s="46"/>
      <c r="L957" s="46"/>
      <c r="N957" s="48"/>
    </row>
    <row r="958" customFormat="false" ht="15.75" hidden="false" customHeight="false" outlineLevel="0" collapsed="false">
      <c r="G958" s="46"/>
      <c r="H958" s="46"/>
      <c r="L958" s="46"/>
      <c r="N958" s="48"/>
    </row>
    <row r="959" customFormat="false" ht="15.75" hidden="false" customHeight="false" outlineLevel="0" collapsed="false">
      <c r="G959" s="46"/>
      <c r="H959" s="46"/>
      <c r="L959" s="46"/>
      <c r="N959" s="48"/>
    </row>
    <row r="960" customFormat="false" ht="15.75" hidden="false" customHeight="false" outlineLevel="0" collapsed="false">
      <c r="G960" s="46"/>
      <c r="H960" s="46"/>
      <c r="L960" s="46"/>
      <c r="N960" s="48"/>
    </row>
    <row r="961" customFormat="false" ht="15.75" hidden="false" customHeight="false" outlineLevel="0" collapsed="false">
      <c r="G961" s="46"/>
      <c r="H961" s="46"/>
      <c r="L961" s="46"/>
      <c r="N961" s="48"/>
    </row>
    <row r="962" customFormat="false" ht="15.75" hidden="false" customHeight="false" outlineLevel="0" collapsed="false">
      <c r="G962" s="46"/>
      <c r="H962" s="46"/>
      <c r="L962" s="46"/>
      <c r="N962" s="48"/>
    </row>
    <row r="963" customFormat="false" ht="15.75" hidden="false" customHeight="false" outlineLevel="0" collapsed="false">
      <c r="G963" s="46"/>
      <c r="H963" s="46"/>
      <c r="L963" s="46"/>
      <c r="N963" s="48"/>
    </row>
    <row r="964" customFormat="false" ht="15.75" hidden="false" customHeight="false" outlineLevel="0" collapsed="false">
      <c r="G964" s="46"/>
      <c r="H964" s="46"/>
      <c r="L964" s="46"/>
      <c r="N964" s="48"/>
    </row>
    <row r="965" customFormat="false" ht="15.75" hidden="false" customHeight="false" outlineLevel="0" collapsed="false">
      <c r="G965" s="46"/>
      <c r="H965" s="46"/>
      <c r="L965" s="46"/>
      <c r="N965" s="48"/>
    </row>
    <row r="966" customFormat="false" ht="15.75" hidden="false" customHeight="false" outlineLevel="0" collapsed="false">
      <c r="G966" s="46"/>
      <c r="H966" s="46"/>
      <c r="L966" s="46"/>
      <c r="N966" s="48"/>
    </row>
    <row r="967" customFormat="false" ht="15.75" hidden="false" customHeight="false" outlineLevel="0" collapsed="false">
      <c r="G967" s="46"/>
      <c r="H967" s="46"/>
      <c r="L967" s="46"/>
      <c r="N967" s="48"/>
    </row>
    <row r="968" customFormat="false" ht="15.75" hidden="false" customHeight="false" outlineLevel="0" collapsed="false">
      <c r="G968" s="46"/>
      <c r="H968" s="46"/>
      <c r="L968" s="46"/>
      <c r="N968" s="48"/>
    </row>
    <row r="969" customFormat="false" ht="15.75" hidden="false" customHeight="false" outlineLevel="0" collapsed="false">
      <c r="G969" s="46"/>
      <c r="H969" s="46"/>
      <c r="L969" s="46"/>
      <c r="N969" s="48"/>
    </row>
  </sheetData>
  <dataValidations count="14">
    <dataValidation allowBlank="true" errorStyle="stop" operator="between" showDropDown="false" showErrorMessage="true" showInputMessage="false" sqref="C2:C60" type="list">
      <formula1>"Martes,Miércoles,Jueves,Viernes,Lunes,Domingo,--,Sabado "</formula1>
      <formula2>0</formula2>
    </dataValidation>
    <dataValidation allowBlank="true" errorStyle="stop" operator="between" showDropDown="false" showErrorMessage="true" showInputMessage="false" sqref="G61:G82" type="list">
      <formula1>"Alta,Normal,Urgente,Baja,--"</formula1>
      <formula2>0</formula2>
    </dataValidation>
    <dataValidation allowBlank="true" errorStyle="stop" operator="between" showDropDown="false" showErrorMessage="false" showInputMessage="false" sqref="D61:D82" type="list">
      <formula1>"Faktur,Backpro,Zuckerman,Facialart,Dejusticia,Happycinamon,Nulab,Ncarb,ECOS,IDK,BMS,Cetaphil,Swapps,WWilson,Tabby,Smart Web Apps,Comfinagro,IMC,IT"</formula1>
      <formula2>0</formula2>
    </dataValidation>
    <dataValidation allowBlank="true" errorStyle="stop" operator="between" showDropDown="false" showErrorMessage="false" showInputMessage="false" sqref="I61:I82" type="list">
      <formula1>"Closed,Ready for testing ,Open,Under review,Partially Done,In progress,Approved,Deploy to production,Needs more work"</formula1>
      <formula2>0</formula2>
    </dataValidation>
    <dataValidation allowBlank="true" errorStyle="stop" operator="between" showDropDown="true" showErrorMessage="false" showInputMessage="false" sqref="E2:F60 N2:N60" type="none">
      <formula1>0</formula1>
      <formula2>0</formula2>
    </dataValidation>
    <dataValidation allowBlank="true" errorStyle="stop" operator="between" showDropDown="false" showErrorMessage="false" showInputMessage="false" sqref="I2:I60" type="list">
      <formula1>"Closed,Ready for testing ,Open,Under review,Partially Done,In progress,Approved,Deploy to production,Needs more work"</formula1>
      <formula2>0</formula2>
    </dataValidation>
    <dataValidation allowBlank="true" errorStyle="stop" operator="between" showDropDown="false" showErrorMessage="true" showInputMessage="false" sqref="C61:C82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E61:E82" type="list">
      <formula1>"Ajustes,Soporte,Mejoras,Corrección,Configuraciones,Revisión,--,Pagina Web,IT,Error,Blue,SOLICITUD ,PENDIENTE,Diseño"</formula1>
      <formula2>0</formula2>
    </dataValidation>
    <dataValidation allowBlank="true" errorStyle="stop" operator="between" showDropDown="false" showErrorMessage="false" showInputMessage="false" sqref="H2:H60" type="list">
      <formula1>"Iván,Carlos,Gustavo,Diego,Andrés,JC,José,Héctor,Mateo,--,Blue,Carlos M"</formula1>
      <formula2>0</formula2>
    </dataValidation>
    <dataValidation allowBlank="true" errorStyle="stop" operator="between" showDropDown="false" showErrorMessage="true" showInputMessage="false" sqref="G2:G60" type="list">
      <formula1>"Alta,Normal,Urgente,Baja,--"</formula1>
      <formula2>0</formula2>
    </dataValidation>
    <dataValidation allowBlank="true" errorStyle="stop" operator="between" showDropDown="false" showErrorMessage="false" showInputMessage="false" sqref="H61:H82" type="list">
      <formula1>"Iván,Carlos,Gustavo,Diego,Andrés,JC,José,Héctor,Mateo,--,Blue,Carlos M"</formula1>
      <formula2>0</formula2>
    </dataValidation>
    <dataValidation allowBlank="true" errorStyle="stop" operator="between" showDropDown="true" showErrorMessage="false" showInputMessage="false" sqref="A2:A56 J2:J60 B3 B7:B10 B15:B18 B21 B24 B31 B51 B55 A57:A60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D2:D60" type="list">
      <formula1>"Faktur,Backpro,Zuckerman,Facialart,Dejusticia,Happycinamon,Nulab,Ncarb,ECOS,IDK,BMS,Cetaphil,Swapps,WWilson,Tabby,Smart Web Apps,Comfinagro,IMC,IT"</formula1>
      <formula2>0</formula2>
    </dataValidation>
    <dataValidation allowBlank="true" errorStyle="stop" operator="between" showDropDown="true" showErrorMessage="false" showInputMessage="false" sqref="K2:K60" type="custom">
      <formula1>AND(ISNUMBER(K2),(NOT(OR(NOT(ISERROR(DATEVALUE(K2))), AND(ISNUMBER(K2), LEFT(CELL("format", K2))="D")))))</formula1>
      <formula2>0</formula2>
    </dataValidation>
  </dataValidations>
  <hyperlinks>
    <hyperlink ref="M2" r:id="rId2" display="https://app.clickup.com/t/86b3bucnb"/>
    <hyperlink ref="M3" r:id="rId3" display="https://app.clickup.com/t/86b3c37hr"/>
    <hyperlink ref="M4" r:id="rId4" display="https://app.clickup.com/t/86b3c3bg6"/>
    <hyperlink ref="M5" r:id="rId5" display="https://app.clickup.com/t/86b3c4z30"/>
    <hyperlink ref="M6" r:id="rId6" display="https://app.clickup.com/t/86b3c79v1"/>
    <hyperlink ref="M7" r:id="rId7" display="https://app.clickup.com/t/86b3cy3xm"/>
    <hyperlink ref="M8" r:id="rId8" display="https://app.clickup.com/t/86b3cy9cc"/>
    <hyperlink ref="M9" r:id="rId9" display="https://app.clickup.com/t/86b3e0ypf"/>
    <hyperlink ref="M10" r:id="rId10" display="https://app.clickup.com/t/86b3e2ga2"/>
    <hyperlink ref="M11" r:id="rId11" display="https://app.clickup.com/t/86b3af7hc"/>
    <hyperlink ref="M12" r:id="rId12" display="https://app.clickup.com/t/86b3af0am"/>
    <hyperlink ref="M13" r:id="rId13" display="https://app.clickup.com/t/86b3aeyv6"/>
    <hyperlink ref="M14" r:id="rId14" display="https://app.clickup.com/t/86b3af00u"/>
    <hyperlink ref="M15" r:id="rId15" display="https://app.clickup.com/t/86b3eady3"/>
    <hyperlink ref="M16" r:id="rId16" display="https://app.clickup.com/t/86b3ehfyp"/>
    <hyperlink ref="M17" r:id="rId17" display="https://app.clickup.com/t/86b3ejx88"/>
    <hyperlink ref="M18" r:id="rId18" display="https://app.clickup.com/t/86b3ejy39"/>
    <hyperlink ref="M19" r:id="rId19" display="https://app.clickup.com/t/86b3ejakv"/>
    <hyperlink ref="F20" r:id="rId20" display="Notice Regarding Expiration of Website + Marketing Basic Renewal and Security Measures for wlwilson.com"/>
    <hyperlink ref="M20" r:id="rId21" display="https://app.clickup.com/t/86b3er8tu"/>
    <hyperlink ref="M21" r:id="rId22" display="https://app.clickup.com/t/86b3etpeb"/>
    <hyperlink ref="M22" r:id="rId23" display="https://app.clickup.com/t/86b3f2h8k"/>
    <hyperlink ref="M23" r:id="rId24" display="https://app.clickup.com/t/86b3f76by"/>
    <hyperlink ref="M24" r:id="rId25" display="https://app.clickup.com/t/86b3f8f7w"/>
    <hyperlink ref="M25" r:id="rId26" display="https://app.clickup.com/t/86b3fhc8f"/>
    <hyperlink ref="M26" r:id="rId27" display="https://app.clickup.com/t/86b3fhemx"/>
    <hyperlink ref="M27" r:id="rId28" display="https://app.clickup.com/t/86b3fjxcb"/>
    <hyperlink ref="M28" r:id="rId29" display="https://app.clickup.com/t/86b3af3g4"/>
    <hyperlink ref="M29" r:id="rId30" display="https://app.clickup.com/t/86b3ae4mh"/>
    <hyperlink ref="M30" r:id="rId31" display="https://app.clickup.com/t/86b3advyn"/>
    <hyperlink ref="M31" r:id="rId32" display="https://app.clickup.com/t/86b3gdezm"/>
    <hyperlink ref="M32" r:id="rId33" display="https://app.clickup.com/t/454056/ZL-1495"/>
    <hyperlink ref="M33" r:id="rId34" display="https://app.clickup.com/t/454056/ZL-1494"/>
    <hyperlink ref="M34" r:id="rId35" display="https://app.clickup.com/t/86b3hmddu"/>
    <hyperlink ref="M35" r:id="rId36" display="https://app.clickup.com/t/86b3hmx6p"/>
    <hyperlink ref="M36" r:id="rId37" display="https://app.clickup.com/t/454056/ZL-1498"/>
    <hyperlink ref="M37" r:id="rId38" display="https://app.clickup.com/t/86b3hrffz"/>
    <hyperlink ref="M38" r:id="rId39" display="https://app.clickup.com/t/86b3j0g01"/>
    <hyperlink ref="M39" r:id="rId40" display="https://app.clickup.com/t/86b3j2ddc"/>
    <hyperlink ref="M40" r:id="rId41" display="https://app.clickup.com/t/86b3j2nkv"/>
    <hyperlink ref="M41" r:id="rId42" display="https://app.clickup.com/t/86b3j8d88"/>
    <hyperlink ref="M43" r:id="rId43" display="https://app.clickup.com/t/86b3k7g5t"/>
    <hyperlink ref="M44" r:id="rId44" display="https://app.clickup.com/t/86b3k8cev"/>
    <hyperlink ref="M45" r:id="rId45" display="https://app.clickup.com/t/86b3k91m9"/>
    <hyperlink ref="M46" r:id="rId46" display="https://app.clickup.com/t/86b3k8wf0"/>
    <hyperlink ref="M47" r:id="rId47" display="https://app.clickup.com/t/86b3k93qz"/>
    <hyperlink ref="M48" r:id="rId48" display="https://app.clickup.com/t/454056/SLA-1143"/>
    <hyperlink ref="M49" r:id="rId49" display="https://app.clickup.com/t/86b3k9wx2"/>
    <hyperlink ref="M50" r:id="rId50" display="https://app.clickup.com/t/454056/ZL-1509"/>
    <hyperlink ref="M51" r:id="rId51" display="https://app.clickup.com/t/86b3kqn2g"/>
    <hyperlink ref="M52" r:id="rId52" display="https://app.clickup.com/t/86b3kubac"/>
    <hyperlink ref="M53" r:id="rId53" display="https://app.clickup.com/t/86b3kuhb0"/>
    <hyperlink ref="M54" r:id="rId54" display="https://app.clickup.com/t/86b3kujp9"/>
    <hyperlink ref="M55" r:id="rId55" display="https://app.clickup.com/t/86b3ky7y3"/>
    <hyperlink ref="M56" r:id="rId56" display="https://app.clickup.com/t/86b3m5rj1"/>
    <hyperlink ref="M57" r:id="rId57" display="https://app.clickup.com/t/86b3m4tvn"/>
    <hyperlink ref="M58" r:id="rId58" display="https://app.clickup.com/t/86b3m5rj1"/>
    <hyperlink ref="M59" r:id="rId59" display="https://app.clickup.com/t/86b3m7kvn"/>
    <hyperlink ref="M60" r:id="rId60" display="https://app.clickup.com/t/86b3m937r"/>
    <hyperlink ref="M61" r:id="rId61" display="https://app.clickup.com/t/86b3n141u"/>
    <hyperlink ref="M62" r:id="rId62" display="https://app.clickup.com/t/86b3n17f3"/>
    <hyperlink ref="M63" r:id="rId63" display="https://app.clickup.com/t/86b3mykcc"/>
    <hyperlink ref="M64" r:id="rId64" display="https://app.clickup.com/t/86b3ncm72"/>
    <hyperlink ref="M65" r:id="rId65" display="https://app.clickup.com/t/86b3ncqt8"/>
    <hyperlink ref="M66" r:id="rId66" display="https://app.clickup.com/t/86b3nd8qk"/>
    <hyperlink ref="M67" r:id="rId67" display="https://app.clickup.com/t/86b3netme"/>
    <hyperlink ref="M68" r:id="rId68" display="https://app.clickup.com/t/86b3nxfpd"/>
    <hyperlink ref="M69" r:id="rId69" display="https://app.clickup.com/t/86b3pfgvj"/>
    <hyperlink ref="M70" r:id="rId70" display="https://app.clickup.com/t/86b3pg96u"/>
    <hyperlink ref="M71" r:id="rId71" display="https://app.clickup.com/t/86b3pv4xn"/>
    <hyperlink ref="M72" r:id="rId72" display="https://app.clickup.com/t/86b3q5m1v"/>
    <hyperlink ref="M73" r:id="rId73" display="https://app.clickup.com/t/86b3q7y7r"/>
    <hyperlink ref="M74" r:id="rId74" display="https://app.clickup.com/t/86b3q6tv6"/>
    <hyperlink ref="M75" r:id="rId75" display="https://app.clickup.com/t/86b3qfu62"/>
    <hyperlink ref="M76" r:id="rId76" display="https://app.clickup.com/t/86b3qnbgg"/>
    <hyperlink ref="M77" r:id="rId77" display="https://app.clickup.com/t/86b3r03na"/>
    <hyperlink ref="M78" r:id="rId78" display="https://app.clickup.com/t/86b3r8gf9"/>
    <hyperlink ref="M79" r:id="rId79" display="https://app.clickup.com/t/86b3rhcu6"/>
    <hyperlink ref="M80" r:id="rId80" display="https://app.clickup.com/t/86b3rhfdr"/>
    <hyperlink ref="M81" r:id="rId81" display="https://app.clickup.com/t/86b3rk6kx"/>
    <hyperlink ref="M82" r:id="rId82" display="https://app.clickup.com/t/86b3rpkqf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83"/>
  <tableParts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true"/>
  </sheetPr>
  <dimension ref="A1:AH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3" min="2" style="1" width="11"/>
    <col collapsed="false" customWidth="true" hidden="false" outlineLevel="0" max="4" min="4" style="1" width="15.38"/>
    <col collapsed="false" customWidth="true" hidden="false" outlineLevel="0" max="6" min="6" style="1" width="38.25"/>
    <col collapsed="false" customWidth="true" hidden="false" outlineLevel="0" max="8" min="8" style="1" width="15.13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23.63"/>
    <col collapsed="false" customWidth="true" hidden="false" outlineLevel="0" max="15" min="15" style="1" width="23.25"/>
  </cols>
  <sheetData>
    <row r="1" customFormat="false" ht="22.5" hidden="false" customHeight="true" outlineLevel="0" collapsed="false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3" t="s">
        <v>13</v>
      </c>
      <c r="O1" s="51" t="s">
        <v>14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customFormat="false" ht="22.5" hidden="false" customHeight="true" outlineLevel="0" collapsed="false">
      <c r="A2" s="55" t="n">
        <v>45691</v>
      </c>
      <c r="B2" s="44" t="n">
        <v>3</v>
      </c>
      <c r="C2" s="56" t="s">
        <v>101</v>
      </c>
      <c r="D2" s="56" t="s">
        <v>130</v>
      </c>
      <c r="E2" s="56" t="s">
        <v>17</v>
      </c>
      <c r="F2" s="32" t="s">
        <v>222</v>
      </c>
      <c r="G2" s="56" t="s">
        <v>77</v>
      </c>
      <c r="H2" s="56" t="s">
        <v>70</v>
      </c>
      <c r="I2" s="56" t="s">
        <v>21</v>
      </c>
      <c r="J2" s="57" t="n">
        <v>45691</v>
      </c>
      <c r="K2" s="58" t="n">
        <v>1</v>
      </c>
      <c r="L2" s="59" t="n">
        <v>0.00486111111111111</v>
      </c>
      <c r="M2" s="31" t="s">
        <v>223</v>
      </c>
      <c r="N2" s="60"/>
      <c r="O2" s="56" t="s">
        <v>224</v>
      </c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customFormat="false" ht="22.5" hidden="false" customHeight="true" outlineLevel="0" collapsed="false">
      <c r="A3" s="57" t="n">
        <v>45691</v>
      </c>
      <c r="B3" s="44" t="n">
        <v>3</v>
      </c>
      <c r="C3" s="56" t="s">
        <v>101</v>
      </c>
      <c r="D3" s="56" t="s">
        <v>126</v>
      </c>
      <c r="E3" s="56" t="s">
        <v>17</v>
      </c>
      <c r="F3" s="60" t="s">
        <v>225</v>
      </c>
      <c r="G3" s="56" t="s">
        <v>77</v>
      </c>
      <c r="H3" s="56" t="s">
        <v>53</v>
      </c>
      <c r="I3" s="56" t="s">
        <v>21</v>
      </c>
      <c r="J3" s="57" t="n">
        <v>45691</v>
      </c>
      <c r="K3" s="58" t="n">
        <v>2</v>
      </c>
      <c r="L3" s="59" t="n">
        <v>0.188888888888889</v>
      </c>
      <c r="M3" s="61" t="s">
        <v>226</v>
      </c>
      <c r="N3" s="60"/>
      <c r="O3" s="56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customFormat="false" ht="22.5" hidden="false" customHeight="true" outlineLevel="0" collapsed="false">
      <c r="A4" s="57" t="n">
        <v>45691</v>
      </c>
      <c r="B4" s="44" t="n">
        <v>3</v>
      </c>
      <c r="C4" s="56" t="s">
        <v>101</v>
      </c>
      <c r="D4" s="56" t="s">
        <v>145</v>
      </c>
      <c r="E4" s="56" t="s">
        <v>139</v>
      </c>
      <c r="F4" s="60" t="s">
        <v>227</v>
      </c>
      <c r="G4" s="56" t="s">
        <v>48</v>
      </c>
      <c r="H4" s="56" t="s">
        <v>141</v>
      </c>
      <c r="I4" s="56" t="s">
        <v>21</v>
      </c>
      <c r="J4" s="57" t="n">
        <v>45702</v>
      </c>
      <c r="K4" s="58" t="n">
        <v>2</v>
      </c>
      <c r="L4" s="59" t="n">
        <v>0.125</v>
      </c>
      <c r="M4" s="61" t="s">
        <v>228</v>
      </c>
      <c r="N4" s="60"/>
      <c r="O4" s="56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customFormat="false" ht="22.5" hidden="false" customHeight="true" outlineLevel="0" collapsed="false">
      <c r="A5" s="57" t="n">
        <v>45691</v>
      </c>
      <c r="B5" s="44" t="n">
        <v>3</v>
      </c>
      <c r="C5" s="56" t="s">
        <v>101</v>
      </c>
      <c r="D5" s="56" t="s">
        <v>46</v>
      </c>
      <c r="E5" s="56" t="s">
        <v>121</v>
      </c>
      <c r="F5" s="60" t="s">
        <v>229</v>
      </c>
      <c r="G5" s="56" t="s">
        <v>77</v>
      </c>
      <c r="H5" s="56" t="s">
        <v>20</v>
      </c>
      <c r="I5" s="56" t="s">
        <v>21</v>
      </c>
      <c r="J5" s="57" t="n">
        <v>45699</v>
      </c>
      <c r="K5" s="58" t="n">
        <v>2</v>
      </c>
      <c r="L5" s="59" t="n">
        <v>0.559027777777778</v>
      </c>
      <c r="M5" s="61" t="s">
        <v>230</v>
      </c>
      <c r="N5" s="60"/>
      <c r="O5" s="56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</row>
    <row r="6" customFormat="false" ht="22.5" hidden="true" customHeight="true" outlineLevel="0" collapsed="false">
      <c r="A6" s="57" t="n">
        <v>45691</v>
      </c>
      <c r="B6" s="57"/>
      <c r="C6" s="56" t="s">
        <v>101</v>
      </c>
      <c r="D6" s="56" t="s">
        <v>46</v>
      </c>
      <c r="E6" s="56" t="s">
        <v>121</v>
      </c>
      <c r="F6" s="60" t="s">
        <v>231</v>
      </c>
      <c r="G6" s="56" t="s">
        <v>19</v>
      </c>
      <c r="H6" s="56" t="s">
        <v>20</v>
      </c>
      <c r="I6" s="56" t="s">
        <v>21</v>
      </c>
      <c r="J6" s="57" t="n">
        <v>45691</v>
      </c>
      <c r="K6" s="58" t="n">
        <v>1</v>
      </c>
      <c r="L6" s="59" t="n">
        <v>0.0402777777777778</v>
      </c>
      <c r="M6" s="61" t="s">
        <v>232</v>
      </c>
      <c r="N6" s="60"/>
      <c r="O6" s="56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customFormat="false" ht="22.5" hidden="false" customHeight="true" outlineLevel="0" collapsed="false">
      <c r="A7" s="57" t="n">
        <v>45691</v>
      </c>
      <c r="B7" s="44" t="n">
        <v>3</v>
      </c>
      <c r="C7" s="56" t="s">
        <v>101</v>
      </c>
      <c r="D7" s="56" t="s">
        <v>134</v>
      </c>
      <c r="E7" s="56" t="s">
        <v>121</v>
      </c>
      <c r="F7" s="60" t="s">
        <v>233</v>
      </c>
      <c r="G7" s="56" t="s">
        <v>77</v>
      </c>
      <c r="H7" s="56" t="s">
        <v>34</v>
      </c>
      <c r="I7" s="56" t="s">
        <v>21</v>
      </c>
      <c r="J7" s="57" t="n">
        <v>45691</v>
      </c>
      <c r="K7" s="58" t="n">
        <v>2</v>
      </c>
      <c r="L7" s="59" t="n">
        <v>0.0486111111111111</v>
      </c>
      <c r="M7" s="61" t="s">
        <v>234</v>
      </c>
      <c r="N7" s="60"/>
      <c r="O7" s="56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customFormat="false" ht="22.5" hidden="false" customHeight="true" outlineLevel="0" collapsed="false">
      <c r="A8" s="57" t="n">
        <v>45691</v>
      </c>
      <c r="B8" s="44" t="n">
        <v>3</v>
      </c>
      <c r="C8" s="56" t="s">
        <v>101</v>
      </c>
      <c r="D8" s="56" t="s">
        <v>145</v>
      </c>
      <c r="E8" s="56" t="s">
        <v>139</v>
      </c>
      <c r="F8" s="60" t="s">
        <v>235</v>
      </c>
      <c r="G8" s="56" t="s">
        <v>48</v>
      </c>
      <c r="H8" s="56" t="s">
        <v>141</v>
      </c>
      <c r="I8" s="56" t="s">
        <v>21</v>
      </c>
      <c r="J8" s="57" t="n">
        <v>45691</v>
      </c>
      <c r="K8" s="58" t="n">
        <v>1</v>
      </c>
      <c r="L8" s="59" t="n">
        <v>0.0833333333333333</v>
      </c>
      <c r="M8" s="61" t="s">
        <v>236</v>
      </c>
      <c r="N8" s="60"/>
      <c r="O8" s="56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customFormat="false" ht="22.5" hidden="false" customHeight="true" outlineLevel="0" collapsed="false">
      <c r="A9" s="57" t="n">
        <v>45691</v>
      </c>
      <c r="B9" s="44" t="n">
        <v>3</v>
      </c>
      <c r="C9" s="56" t="s">
        <v>101</v>
      </c>
      <c r="D9" s="56" t="s">
        <v>16</v>
      </c>
      <c r="E9" s="56" t="s">
        <v>17</v>
      </c>
      <c r="F9" s="60" t="s">
        <v>237</v>
      </c>
      <c r="G9" s="56" t="s">
        <v>77</v>
      </c>
      <c r="H9" s="56" t="s">
        <v>20</v>
      </c>
      <c r="I9" s="56" t="s">
        <v>21</v>
      </c>
      <c r="J9" s="57" t="n">
        <v>45695</v>
      </c>
      <c r="K9" s="58" t="n">
        <v>2</v>
      </c>
      <c r="L9" s="59" t="n">
        <v>0.286111111111111</v>
      </c>
      <c r="M9" s="61" t="s">
        <v>238</v>
      </c>
      <c r="N9" s="60"/>
      <c r="O9" s="56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customFormat="false" ht="22.5" hidden="false" customHeight="true" outlineLevel="0" collapsed="false">
      <c r="A10" s="57" t="n">
        <v>45692</v>
      </c>
      <c r="B10" s="44" t="n">
        <v>3</v>
      </c>
      <c r="C10" s="56" t="s">
        <v>41</v>
      </c>
      <c r="D10" s="56" t="s">
        <v>126</v>
      </c>
      <c r="E10" s="56" t="s">
        <v>17</v>
      </c>
      <c r="F10" s="60" t="s">
        <v>239</v>
      </c>
      <c r="G10" s="56" t="s">
        <v>77</v>
      </c>
      <c r="H10" s="56" t="s">
        <v>53</v>
      </c>
      <c r="I10" s="56" t="s">
        <v>21</v>
      </c>
      <c r="J10" s="57" t="n">
        <v>45693</v>
      </c>
      <c r="K10" s="58" t="n">
        <v>2</v>
      </c>
      <c r="L10" s="59" t="n">
        <v>0.158333333333333</v>
      </c>
      <c r="M10" s="61" t="s">
        <v>240</v>
      </c>
      <c r="N10" s="60"/>
      <c r="O10" s="56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 customFormat="false" ht="22.5" hidden="false" customHeight="true" outlineLevel="0" collapsed="false">
      <c r="A11" s="57" t="n">
        <v>45692</v>
      </c>
      <c r="B11" s="44" t="n">
        <v>3</v>
      </c>
      <c r="C11" s="56" t="s">
        <v>41</v>
      </c>
      <c r="D11" s="56" t="s">
        <v>16</v>
      </c>
      <c r="E11" s="56" t="s">
        <v>24</v>
      </c>
      <c r="F11" s="60" t="s">
        <v>241</v>
      </c>
      <c r="G11" s="56" t="s">
        <v>77</v>
      </c>
      <c r="H11" s="56" t="s">
        <v>24</v>
      </c>
      <c r="I11" s="56" t="s">
        <v>21</v>
      </c>
      <c r="J11" s="57" t="n">
        <v>45692</v>
      </c>
      <c r="K11" s="58" t="n">
        <v>0</v>
      </c>
      <c r="L11" s="59" t="n">
        <v>0</v>
      </c>
      <c r="M11" s="61" t="s">
        <v>242</v>
      </c>
      <c r="N11" s="60"/>
      <c r="O11" s="56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 customFormat="false" ht="22.5" hidden="false" customHeight="true" outlineLevel="0" collapsed="false">
      <c r="A12" s="57" t="n">
        <v>45692</v>
      </c>
      <c r="B12" s="44" t="n">
        <v>3</v>
      </c>
      <c r="C12" s="56" t="s">
        <v>41</v>
      </c>
      <c r="D12" s="56" t="s">
        <v>145</v>
      </c>
      <c r="E12" s="56" t="s">
        <v>139</v>
      </c>
      <c r="F12" s="60" t="s">
        <v>243</v>
      </c>
      <c r="G12" s="56" t="s">
        <v>48</v>
      </c>
      <c r="H12" s="56" t="s">
        <v>141</v>
      </c>
      <c r="I12" s="56" t="s">
        <v>21</v>
      </c>
      <c r="J12" s="57" t="n">
        <v>45693</v>
      </c>
      <c r="K12" s="58" t="n">
        <v>2</v>
      </c>
      <c r="L12" s="59" t="n">
        <v>0.0291666666666667</v>
      </c>
      <c r="M12" s="61" t="s">
        <v>244</v>
      </c>
      <c r="N12" s="60"/>
      <c r="O12" s="56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</row>
    <row r="13" customFormat="false" ht="22.5" hidden="false" customHeight="true" outlineLevel="0" collapsed="false">
      <c r="A13" s="57" t="n">
        <v>45692</v>
      </c>
      <c r="B13" s="44" t="n">
        <v>3</v>
      </c>
      <c r="C13" s="56" t="s">
        <v>41</v>
      </c>
      <c r="D13" s="56" t="s">
        <v>46</v>
      </c>
      <c r="E13" s="56" t="s">
        <v>17</v>
      </c>
      <c r="F13" s="60" t="s">
        <v>245</v>
      </c>
      <c r="G13" s="56" t="s">
        <v>48</v>
      </c>
      <c r="H13" s="56" t="s">
        <v>20</v>
      </c>
      <c r="I13" s="56" t="s">
        <v>21</v>
      </c>
      <c r="J13" s="57" t="n">
        <v>45700</v>
      </c>
      <c r="K13" s="58" t="n">
        <v>2</v>
      </c>
      <c r="L13" s="59" t="n">
        <v>0.550694444444445</v>
      </c>
      <c r="M13" s="61" t="s">
        <v>246</v>
      </c>
      <c r="N13" s="60"/>
      <c r="O13" s="56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</row>
    <row r="14" customFormat="false" ht="22.5" hidden="false" customHeight="true" outlineLevel="0" collapsed="false">
      <c r="A14" s="57" t="n">
        <v>45692</v>
      </c>
      <c r="B14" s="44" t="n">
        <v>3</v>
      </c>
      <c r="C14" s="56" t="s">
        <v>41</v>
      </c>
      <c r="D14" s="56" t="s">
        <v>16</v>
      </c>
      <c r="E14" s="56" t="s">
        <v>17</v>
      </c>
      <c r="F14" s="60" t="s">
        <v>247</v>
      </c>
      <c r="G14" s="56" t="s">
        <v>77</v>
      </c>
      <c r="H14" s="56" t="s">
        <v>70</v>
      </c>
      <c r="I14" s="56" t="s">
        <v>21</v>
      </c>
      <c r="J14" s="57" t="n">
        <v>45694</v>
      </c>
      <c r="K14" s="58" t="n">
        <v>1</v>
      </c>
      <c r="L14" s="59" t="n">
        <v>0.0208333333333333</v>
      </c>
      <c r="M14" s="31" t="s">
        <v>248</v>
      </c>
      <c r="N14" s="60"/>
      <c r="O14" s="56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customFormat="false" ht="22.5" hidden="false" customHeight="true" outlineLevel="0" collapsed="false">
      <c r="A15" s="57" t="n">
        <v>45692</v>
      </c>
      <c r="B15" s="44" t="n">
        <v>3</v>
      </c>
      <c r="C15" s="56" t="s">
        <v>41</v>
      </c>
      <c r="D15" s="56" t="s">
        <v>145</v>
      </c>
      <c r="E15" s="56" t="s">
        <v>139</v>
      </c>
      <c r="F15" s="60" t="s">
        <v>249</v>
      </c>
      <c r="G15" s="56" t="s">
        <v>48</v>
      </c>
      <c r="H15" s="56" t="s">
        <v>141</v>
      </c>
      <c r="I15" s="56" t="s">
        <v>21</v>
      </c>
      <c r="J15" s="57" t="n">
        <v>45692</v>
      </c>
      <c r="K15" s="58" t="n">
        <v>0.5</v>
      </c>
      <c r="L15" s="59" t="n">
        <v>0.0104166666666667</v>
      </c>
      <c r="M15" s="61" t="s">
        <v>250</v>
      </c>
      <c r="N15" s="60"/>
      <c r="O15" s="56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 customFormat="false" ht="22.5" hidden="false" customHeight="true" outlineLevel="0" collapsed="false">
      <c r="A16" s="57" t="n">
        <v>45693</v>
      </c>
      <c r="B16" s="44" t="n">
        <v>3</v>
      </c>
      <c r="C16" s="56" t="s">
        <v>60</v>
      </c>
      <c r="D16" s="56" t="s">
        <v>16</v>
      </c>
      <c r="E16" s="56" t="s">
        <v>17</v>
      </c>
      <c r="F16" s="60" t="s">
        <v>251</v>
      </c>
      <c r="G16" s="56" t="s">
        <v>77</v>
      </c>
      <c r="H16" s="56" t="s">
        <v>20</v>
      </c>
      <c r="I16" s="56" t="s">
        <v>21</v>
      </c>
      <c r="J16" s="57" t="n">
        <v>45693</v>
      </c>
      <c r="K16" s="58" t="n">
        <v>1</v>
      </c>
      <c r="L16" s="59" t="n">
        <v>0.0625</v>
      </c>
      <c r="M16" s="61" t="s">
        <v>252</v>
      </c>
      <c r="N16" s="60"/>
      <c r="O16" s="56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 customFormat="false" ht="22.5" hidden="true" customHeight="true" outlineLevel="0" collapsed="false">
      <c r="A17" s="57" t="n">
        <v>45693</v>
      </c>
      <c r="B17" s="57"/>
      <c r="C17" s="56" t="s">
        <v>60</v>
      </c>
      <c r="D17" s="56" t="s">
        <v>85</v>
      </c>
      <c r="E17" s="56" t="s">
        <v>17</v>
      </c>
      <c r="F17" s="60" t="s">
        <v>253</v>
      </c>
      <c r="G17" s="56" t="s">
        <v>19</v>
      </c>
      <c r="H17" s="56" t="s">
        <v>87</v>
      </c>
      <c r="I17" s="56" t="s">
        <v>254</v>
      </c>
      <c r="J17" s="57" t="n">
        <v>45699</v>
      </c>
      <c r="K17" s="58" t="n">
        <v>3</v>
      </c>
      <c r="L17" s="59" t="n">
        <v>0.304166666666667</v>
      </c>
      <c r="M17" s="31" t="s">
        <v>255</v>
      </c>
      <c r="N17" s="32"/>
      <c r="O17" s="56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 customFormat="false" ht="22.5" hidden="false" customHeight="true" outlineLevel="0" collapsed="false">
      <c r="A18" s="57" t="n">
        <v>45694</v>
      </c>
      <c r="B18" s="44" t="n">
        <v>3</v>
      </c>
      <c r="C18" s="56" t="s">
        <v>15</v>
      </c>
      <c r="D18" s="56" t="s">
        <v>85</v>
      </c>
      <c r="E18" s="56" t="s">
        <v>17</v>
      </c>
      <c r="F18" s="60" t="s">
        <v>256</v>
      </c>
      <c r="G18" s="56" t="s">
        <v>48</v>
      </c>
      <c r="H18" s="56" t="s">
        <v>87</v>
      </c>
      <c r="I18" s="56" t="s">
        <v>21</v>
      </c>
      <c r="J18" s="57" t="n">
        <v>45758</v>
      </c>
      <c r="K18" s="58" t="n">
        <v>5</v>
      </c>
      <c r="L18" s="59" t="n">
        <v>0.809027777777778</v>
      </c>
      <c r="M18" s="31" t="s">
        <v>257</v>
      </c>
      <c r="N18" s="60"/>
      <c r="O18" s="56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 customFormat="false" ht="22.5" hidden="false" customHeight="true" outlineLevel="0" collapsed="false">
      <c r="A19" s="57" t="n">
        <v>45694</v>
      </c>
      <c r="B19" s="44" t="n">
        <v>3</v>
      </c>
      <c r="C19" s="56" t="s">
        <v>15</v>
      </c>
      <c r="D19" s="56" t="s">
        <v>85</v>
      </c>
      <c r="E19" s="56" t="s">
        <v>17</v>
      </c>
      <c r="F19" s="60" t="s">
        <v>258</v>
      </c>
      <c r="G19" s="56" t="s">
        <v>48</v>
      </c>
      <c r="H19" s="56" t="s">
        <v>87</v>
      </c>
      <c r="I19" s="56" t="s">
        <v>21</v>
      </c>
      <c r="J19" s="57" t="n">
        <v>45701</v>
      </c>
      <c r="K19" s="58" t="n">
        <v>5</v>
      </c>
      <c r="L19" s="59" t="n">
        <v>0.204861111111111</v>
      </c>
      <c r="M19" s="61" t="s">
        <v>259</v>
      </c>
      <c r="N19" s="60"/>
      <c r="O19" s="56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 customFormat="false" ht="22.5" hidden="false" customHeight="true" outlineLevel="0" collapsed="false">
      <c r="A20" s="57" t="n">
        <v>45694</v>
      </c>
      <c r="B20" s="44" t="n">
        <v>3</v>
      </c>
      <c r="C20" s="56" t="s">
        <v>15</v>
      </c>
      <c r="D20" s="56" t="s">
        <v>156</v>
      </c>
      <c r="E20" s="56" t="s">
        <v>17</v>
      </c>
      <c r="F20" s="60" t="s">
        <v>260</v>
      </c>
      <c r="G20" s="56" t="s">
        <v>77</v>
      </c>
      <c r="H20" s="56" t="s">
        <v>74</v>
      </c>
      <c r="I20" s="56" t="s">
        <v>21</v>
      </c>
      <c r="J20" s="57" t="n">
        <v>45694</v>
      </c>
      <c r="K20" s="58" t="n">
        <v>1</v>
      </c>
      <c r="L20" s="59" t="n">
        <v>0.0131944444444444</v>
      </c>
      <c r="M20" s="31" t="s">
        <v>261</v>
      </c>
      <c r="N20" s="60"/>
      <c r="O20" s="62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 customFormat="false" ht="22.5" hidden="true" customHeight="true" outlineLevel="0" collapsed="false">
      <c r="A21" s="57" t="n">
        <v>45695</v>
      </c>
      <c r="B21" s="57"/>
      <c r="C21" s="56" t="s">
        <v>36</v>
      </c>
      <c r="D21" s="56" t="s">
        <v>16</v>
      </c>
      <c r="E21" s="56" t="s">
        <v>24</v>
      </c>
      <c r="F21" s="60" t="s">
        <v>262</v>
      </c>
      <c r="G21" s="56" t="s">
        <v>19</v>
      </c>
      <c r="H21" s="56" t="s">
        <v>24</v>
      </c>
      <c r="I21" s="56" t="s">
        <v>21</v>
      </c>
      <c r="J21" s="57" t="n">
        <v>45695</v>
      </c>
      <c r="K21" s="58" t="n">
        <v>0</v>
      </c>
      <c r="L21" s="59" t="n">
        <v>0</v>
      </c>
      <c r="M21" s="61" t="s">
        <v>263</v>
      </c>
      <c r="N21" s="60"/>
      <c r="O21" s="56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 customFormat="false" ht="22.5" hidden="false" customHeight="true" outlineLevel="0" collapsed="false">
      <c r="A22" s="57" t="n">
        <v>45695</v>
      </c>
      <c r="B22" s="44" t="n">
        <v>3</v>
      </c>
      <c r="C22" s="56" t="s">
        <v>36</v>
      </c>
      <c r="D22" s="56" t="s">
        <v>167</v>
      </c>
      <c r="E22" s="56" t="s">
        <v>17</v>
      </c>
      <c r="F22" s="60" t="s">
        <v>264</v>
      </c>
      <c r="G22" s="56" t="s">
        <v>77</v>
      </c>
      <c r="H22" s="56" t="s">
        <v>20</v>
      </c>
      <c r="I22" s="56" t="s">
        <v>21</v>
      </c>
      <c r="J22" s="57" t="n">
        <v>45699</v>
      </c>
      <c r="K22" s="58" t="n">
        <v>2</v>
      </c>
      <c r="L22" s="59" t="n">
        <v>0.328472222222222</v>
      </c>
      <c r="M22" s="61" t="s">
        <v>265</v>
      </c>
      <c r="N22" s="60"/>
      <c r="O22" s="6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customFormat="false" ht="22.5" hidden="false" customHeight="true" outlineLevel="0" collapsed="false">
      <c r="A23" s="57" t="n">
        <v>45695</v>
      </c>
      <c r="B23" s="44" t="n">
        <v>3</v>
      </c>
      <c r="C23" s="56" t="s">
        <v>36</v>
      </c>
      <c r="D23" s="56" t="s">
        <v>46</v>
      </c>
      <c r="E23" s="56" t="s">
        <v>17</v>
      </c>
      <c r="F23" s="60" t="s">
        <v>266</v>
      </c>
      <c r="G23" s="56" t="s">
        <v>77</v>
      </c>
      <c r="H23" s="56" t="s">
        <v>20</v>
      </c>
      <c r="I23" s="56" t="s">
        <v>21</v>
      </c>
      <c r="J23" s="57" t="n">
        <v>45699</v>
      </c>
      <c r="K23" s="58" t="n">
        <v>1</v>
      </c>
      <c r="L23" s="59" t="n">
        <v>0.0145833333333333</v>
      </c>
      <c r="M23" s="31" t="s">
        <v>267</v>
      </c>
      <c r="N23" s="60"/>
      <c r="O23" s="56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 customFormat="false" ht="22.5" hidden="false" customHeight="true" outlineLevel="0" collapsed="false">
      <c r="A24" s="57" t="n">
        <v>45695</v>
      </c>
      <c r="B24" s="44" t="n">
        <v>3</v>
      </c>
      <c r="C24" s="56" t="s">
        <v>36</v>
      </c>
      <c r="D24" s="56" t="s">
        <v>16</v>
      </c>
      <c r="E24" s="56" t="s">
        <v>24</v>
      </c>
      <c r="F24" s="60" t="s">
        <v>268</v>
      </c>
      <c r="G24" s="56" t="s">
        <v>77</v>
      </c>
      <c r="H24" s="56" t="s">
        <v>24</v>
      </c>
      <c r="I24" s="56" t="s">
        <v>21</v>
      </c>
      <c r="J24" s="57" t="n">
        <v>45695</v>
      </c>
      <c r="K24" s="58" t="n">
        <v>0</v>
      </c>
      <c r="L24" s="59" t="n">
        <v>0</v>
      </c>
      <c r="M24" s="61" t="s">
        <v>269</v>
      </c>
      <c r="N24" s="60"/>
      <c r="O24" s="56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</row>
    <row r="25" customFormat="false" ht="22.5" hidden="false" customHeight="true" outlineLevel="0" collapsed="false">
      <c r="A25" s="57" t="n">
        <v>45695</v>
      </c>
      <c r="B25" s="44" t="n">
        <v>3</v>
      </c>
      <c r="C25" s="56" t="s">
        <v>36</v>
      </c>
      <c r="D25" s="56" t="s">
        <v>16</v>
      </c>
      <c r="E25" s="56" t="s">
        <v>24</v>
      </c>
      <c r="F25" s="60" t="s">
        <v>270</v>
      </c>
      <c r="G25" s="56" t="s">
        <v>77</v>
      </c>
      <c r="H25" s="56" t="s">
        <v>24</v>
      </c>
      <c r="I25" s="56" t="s">
        <v>21</v>
      </c>
      <c r="J25" s="57" t="n">
        <v>45695</v>
      </c>
      <c r="K25" s="58" t="n">
        <v>0</v>
      </c>
      <c r="L25" s="59" t="n">
        <v>0</v>
      </c>
      <c r="M25" s="61" t="s">
        <v>271</v>
      </c>
      <c r="N25" s="60"/>
      <c r="O25" s="56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 customFormat="false" ht="22.5" hidden="false" customHeight="true" outlineLevel="0" collapsed="false">
      <c r="A26" s="57" t="n">
        <v>45695</v>
      </c>
      <c r="B26" s="44" t="n">
        <v>3</v>
      </c>
      <c r="C26" s="56" t="s">
        <v>36</v>
      </c>
      <c r="D26" s="56" t="s">
        <v>134</v>
      </c>
      <c r="E26" s="56" t="s">
        <v>17</v>
      </c>
      <c r="F26" s="60" t="s">
        <v>272</v>
      </c>
      <c r="G26" s="56" t="s">
        <v>77</v>
      </c>
      <c r="H26" s="56" t="s">
        <v>34</v>
      </c>
      <c r="I26" s="56" t="s">
        <v>21</v>
      </c>
      <c r="J26" s="57" t="n">
        <v>45699</v>
      </c>
      <c r="K26" s="58" t="n">
        <v>3</v>
      </c>
      <c r="L26" s="59" t="n">
        <v>0.0965277777777778</v>
      </c>
      <c r="M26" s="61" t="s">
        <v>273</v>
      </c>
      <c r="N26" s="60"/>
      <c r="O26" s="5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 customFormat="false" ht="22.5" hidden="false" customHeight="true" outlineLevel="0" collapsed="false">
      <c r="A27" s="57" t="n">
        <v>45695</v>
      </c>
      <c r="B27" s="44" t="n">
        <v>3</v>
      </c>
      <c r="C27" s="56" t="s">
        <v>36</v>
      </c>
      <c r="D27" s="56" t="s">
        <v>134</v>
      </c>
      <c r="E27" s="56" t="s">
        <v>17</v>
      </c>
      <c r="F27" s="60" t="s">
        <v>274</v>
      </c>
      <c r="G27" s="56" t="s">
        <v>77</v>
      </c>
      <c r="H27" s="56" t="s">
        <v>34</v>
      </c>
      <c r="I27" s="56" t="s">
        <v>21</v>
      </c>
      <c r="J27" s="57" t="n">
        <v>45689</v>
      </c>
      <c r="K27" s="58" t="n">
        <v>2</v>
      </c>
      <c r="L27" s="59" t="n">
        <v>0.0597222222222222</v>
      </c>
      <c r="M27" s="61" t="s">
        <v>275</v>
      </c>
      <c r="N27" s="60"/>
      <c r="O27" s="56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customFormat="false" ht="22.5" hidden="false" customHeight="true" outlineLevel="0" collapsed="false">
      <c r="A28" s="57" t="n">
        <v>45695</v>
      </c>
      <c r="B28" s="44" t="n">
        <v>3</v>
      </c>
      <c r="C28" s="56" t="s">
        <v>101</v>
      </c>
      <c r="D28" s="56" t="s">
        <v>134</v>
      </c>
      <c r="E28" s="56" t="s">
        <v>17</v>
      </c>
      <c r="F28" s="60" t="s">
        <v>276</v>
      </c>
      <c r="G28" s="56" t="s">
        <v>77</v>
      </c>
      <c r="H28" s="56" t="s">
        <v>70</v>
      </c>
      <c r="I28" s="56" t="s">
        <v>21</v>
      </c>
      <c r="J28" s="57" t="n">
        <v>45698</v>
      </c>
      <c r="K28" s="58" t="n">
        <v>2</v>
      </c>
      <c r="L28" s="59" t="n">
        <v>0.0138888888888889</v>
      </c>
      <c r="M28" s="61" t="s">
        <v>277</v>
      </c>
      <c r="N28" s="60"/>
      <c r="O28" s="56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customFormat="false" ht="22.5" hidden="false" customHeight="true" outlineLevel="0" collapsed="false">
      <c r="A29" s="57" t="n">
        <v>45699</v>
      </c>
      <c r="B29" s="44" t="n">
        <v>3</v>
      </c>
      <c r="C29" s="56" t="s">
        <v>41</v>
      </c>
      <c r="D29" s="56" t="s">
        <v>145</v>
      </c>
      <c r="E29" s="56" t="s">
        <v>17</v>
      </c>
      <c r="F29" s="60" t="s">
        <v>278</v>
      </c>
      <c r="G29" s="56" t="s">
        <v>77</v>
      </c>
      <c r="H29" s="56" t="s">
        <v>141</v>
      </c>
      <c r="I29" s="56" t="s">
        <v>21</v>
      </c>
      <c r="J29" s="57" t="n">
        <v>45699</v>
      </c>
      <c r="K29" s="58" t="n">
        <v>2</v>
      </c>
      <c r="L29" s="59" t="n">
        <v>0.129166666666667</v>
      </c>
      <c r="M29" s="61" t="s">
        <v>279</v>
      </c>
      <c r="N29" s="60"/>
      <c r="O29" s="56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 customFormat="false" ht="22.5" hidden="false" customHeight="true" outlineLevel="0" collapsed="false">
      <c r="A30" s="57" t="n">
        <v>45699</v>
      </c>
      <c r="B30" s="44" t="n">
        <v>3</v>
      </c>
      <c r="C30" s="56" t="s">
        <v>41</v>
      </c>
      <c r="D30" s="56" t="s">
        <v>16</v>
      </c>
      <c r="E30" s="56" t="s">
        <v>17</v>
      </c>
      <c r="F30" s="60" t="s">
        <v>280</v>
      </c>
      <c r="G30" s="56" t="s">
        <v>77</v>
      </c>
      <c r="H30" s="56" t="s">
        <v>70</v>
      </c>
      <c r="I30" s="56" t="s">
        <v>21</v>
      </c>
      <c r="J30" s="57" t="n">
        <v>45699</v>
      </c>
      <c r="K30" s="58" t="n">
        <v>2</v>
      </c>
      <c r="L30" s="59" t="n">
        <v>0.0111111111111111</v>
      </c>
      <c r="M30" s="61" t="s">
        <v>281</v>
      </c>
      <c r="N30" s="60"/>
      <c r="O30" s="56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 customFormat="false" ht="22.5" hidden="false" customHeight="true" outlineLevel="0" collapsed="false">
      <c r="A31" s="57" t="n">
        <v>45700</v>
      </c>
      <c r="B31" s="44" t="n">
        <v>3</v>
      </c>
      <c r="C31" s="56" t="s">
        <v>60</v>
      </c>
      <c r="D31" s="56" t="s">
        <v>16</v>
      </c>
      <c r="E31" s="56" t="s">
        <v>139</v>
      </c>
      <c r="F31" s="60" t="s">
        <v>282</v>
      </c>
      <c r="G31" s="56" t="s">
        <v>77</v>
      </c>
      <c r="H31" s="56" t="s">
        <v>24</v>
      </c>
      <c r="I31" s="56" t="s">
        <v>21</v>
      </c>
      <c r="J31" s="57" t="n">
        <v>45700</v>
      </c>
      <c r="K31" s="58" t="n">
        <v>0</v>
      </c>
      <c r="L31" s="59" t="n">
        <v>0</v>
      </c>
      <c r="M31" s="61" t="s">
        <v>283</v>
      </c>
      <c r="N31" s="60"/>
      <c r="O31" s="56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</row>
    <row r="32" customFormat="false" ht="22.5" hidden="true" customHeight="true" outlineLevel="0" collapsed="false">
      <c r="A32" s="57" t="n">
        <v>45700</v>
      </c>
      <c r="B32" s="57"/>
      <c r="C32" s="56" t="s">
        <v>60</v>
      </c>
      <c r="D32" s="56" t="s">
        <v>116</v>
      </c>
      <c r="E32" s="56" t="s">
        <v>17</v>
      </c>
      <c r="F32" s="60" t="s">
        <v>284</v>
      </c>
      <c r="G32" s="56" t="s">
        <v>19</v>
      </c>
      <c r="H32" s="56" t="s">
        <v>87</v>
      </c>
      <c r="I32" s="56" t="s">
        <v>285</v>
      </c>
      <c r="J32" s="57" t="n">
        <v>45707</v>
      </c>
      <c r="K32" s="58" t="n">
        <v>3</v>
      </c>
      <c r="L32" s="59" t="n">
        <v>0.173611111111111</v>
      </c>
      <c r="M32" s="61" t="s">
        <v>286</v>
      </c>
      <c r="N32" s="60"/>
      <c r="O32" s="56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  <row r="33" customFormat="false" ht="22.5" hidden="false" customHeight="true" outlineLevel="0" collapsed="false">
      <c r="A33" s="57" t="n">
        <v>45700</v>
      </c>
      <c r="B33" s="44" t="n">
        <v>3</v>
      </c>
      <c r="C33" s="56" t="s">
        <v>60</v>
      </c>
      <c r="D33" s="56" t="s">
        <v>145</v>
      </c>
      <c r="E33" s="56" t="s">
        <v>139</v>
      </c>
      <c r="F33" s="60" t="s">
        <v>287</v>
      </c>
      <c r="G33" s="56" t="s">
        <v>48</v>
      </c>
      <c r="H33" s="56" t="s">
        <v>141</v>
      </c>
      <c r="I33" s="56" t="s">
        <v>21</v>
      </c>
      <c r="J33" s="57" t="n">
        <v>45700</v>
      </c>
      <c r="K33" s="58" t="n">
        <v>0.5</v>
      </c>
      <c r="L33" s="59" t="n">
        <v>0.0104166666666667</v>
      </c>
      <c r="M33" s="61" t="s">
        <v>288</v>
      </c>
      <c r="N33" s="60"/>
      <c r="O33" s="56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</row>
    <row r="34" customFormat="false" ht="22.5" hidden="false" customHeight="true" outlineLevel="0" collapsed="false">
      <c r="A34" s="57" t="n">
        <v>45700</v>
      </c>
      <c r="B34" s="44" t="n">
        <v>3</v>
      </c>
      <c r="C34" s="56" t="s">
        <v>60</v>
      </c>
      <c r="D34" s="56" t="s">
        <v>145</v>
      </c>
      <c r="E34" s="56" t="s">
        <v>139</v>
      </c>
      <c r="F34" s="60" t="s">
        <v>289</v>
      </c>
      <c r="G34" s="56" t="s">
        <v>48</v>
      </c>
      <c r="H34" s="56" t="s">
        <v>141</v>
      </c>
      <c r="I34" s="56" t="s">
        <v>21</v>
      </c>
      <c r="J34" s="57" t="n">
        <v>45700</v>
      </c>
      <c r="K34" s="58" t="n">
        <v>0.5</v>
      </c>
      <c r="L34" s="59" t="n">
        <v>0.0104166666666667</v>
      </c>
      <c r="M34" s="61" t="s">
        <v>290</v>
      </c>
      <c r="N34" s="60"/>
      <c r="O34" s="56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  <row r="35" customFormat="false" ht="22.5" hidden="false" customHeight="true" outlineLevel="0" collapsed="false">
      <c r="A35" s="57" t="n">
        <v>45700</v>
      </c>
      <c r="B35" s="44" t="n">
        <v>3</v>
      </c>
      <c r="C35" s="56" t="s">
        <v>60</v>
      </c>
      <c r="D35" s="56" t="s">
        <v>167</v>
      </c>
      <c r="E35" s="56" t="s">
        <v>17</v>
      </c>
      <c r="F35" s="60" t="s">
        <v>291</v>
      </c>
      <c r="G35" s="56" t="s">
        <v>77</v>
      </c>
      <c r="H35" s="56" t="s">
        <v>20</v>
      </c>
      <c r="I35" s="56" t="s">
        <v>21</v>
      </c>
      <c r="J35" s="57" t="n">
        <v>45701</v>
      </c>
      <c r="K35" s="58" t="n">
        <v>1</v>
      </c>
      <c r="L35" s="59" t="n">
        <v>0.236111111111111</v>
      </c>
      <c r="M35" s="61" t="s">
        <v>292</v>
      </c>
      <c r="N35" s="60"/>
      <c r="O35" s="56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customFormat="false" ht="22.5" hidden="false" customHeight="true" outlineLevel="0" collapsed="false">
      <c r="A36" s="57" t="n">
        <v>45700</v>
      </c>
      <c r="B36" s="44" t="n">
        <v>3</v>
      </c>
      <c r="C36" s="56" t="s">
        <v>60</v>
      </c>
      <c r="D36" s="56" t="s">
        <v>134</v>
      </c>
      <c r="E36" s="56" t="s">
        <v>17</v>
      </c>
      <c r="F36" s="60" t="s">
        <v>293</v>
      </c>
      <c r="G36" s="56" t="s">
        <v>77</v>
      </c>
      <c r="H36" s="56" t="s">
        <v>70</v>
      </c>
      <c r="I36" s="56" t="s">
        <v>21</v>
      </c>
      <c r="J36" s="57" t="n">
        <v>45701</v>
      </c>
      <c r="K36" s="58" t="n">
        <v>1</v>
      </c>
      <c r="L36" s="59" t="n">
        <v>0.0298611111111111</v>
      </c>
      <c r="M36" s="61" t="s">
        <v>294</v>
      </c>
      <c r="N36" s="60"/>
      <c r="O36" s="56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customFormat="false" ht="22.5" hidden="false" customHeight="true" outlineLevel="0" collapsed="false">
      <c r="A37" s="57" t="n">
        <v>45701</v>
      </c>
      <c r="B37" s="44" t="n">
        <v>3</v>
      </c>
      <c r="C37" s="56" t="s">
        <v>15</v>
      </c>
      <c r="D37" s="56" t="s">
        <v>16</v>
      </c>
      <c r="E37" s="56" t="s">
        <v>17</v>
      </c>
      <c r="F37" s="60" t="s">
        <v>295</v>
      </c>
      <c r="G37" s="56" t="s">
        <v>77</v>
      </c>
      <c r="H37" s="56" t="s">
        <v>20</v>
      </c>
      <c r="I37" s="56" t="s">
        <v>21</v>
      </c>
      <c r="J37" s="57" t="n">
        <v>45701</v>
      </c>
      <c r="K37" s="58" t="n">
        <v>0.5</v>
      </c>
      <c r="L37" s="59" t="n">
        <v>0.00416666666666667</v>
      </c>
      <c r="M37" s="61" t="s">
        <v>296</v>
      </c>
      <c r="N37" s="32"/>
      <c r="O37" s="56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customFormat="false" ht="22.5" hidden="false" customHeight="true" outlineLevel="0" collapsed="false">
      <c r="A38" s="55" t="n">
        <v>45705</v>
      </c>
      <c r="B38" s="44" t="n">
        <v>4</v>
      </c>
      <c r="C38" s="56" t="s">
        <v>36</v>
      </c>
      <c r="D38" s="56" t="s">
        <v>167</v>
      </c>
      <c r="E38" s="56" t="s">
        <v>17</v>
      </c>
      <c r="F38" s="60" t="s">
        <v>297</v>
      </c>
      <c r="G38" s="56" t="s">
        <v>77</v>
      </c>
      <c r="H38" s="56" t="s">
        <v>20</v>
      </c>
      <c r="I38" s="56" t="s">
        <v>21</v>
      </c>
      <c r="J38" s="57" t="n">
        <v>45708</v>
      </c>
      <c r="K38" s="58" t="n">
        <v>2</v>
      </c>
      <c r="L38" s="59" t="n">
        <v>0.430555555555556</v>
      </c>
      <c r="M38" s="61" t="s">
        <v>298</v>
      </c>
      <c r="N38" s="32"/>
      <c r="O38" s="56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 customFormat="false" ht="22.5" hidden="true" customHeight="true" outlineLevel="0" collapsed="false">
      <c r="A39" s="63" t="n">
        <v>45705</v>
      </c>
      <c r="B39" s="63"/>
      <c r="C39" s="56" t="s">
        <v>101</v>
      </c>
      <c r="D39" s="56" t="s">
        <v>16</v>
      </c>
      <c r="E39" s="56" t="s">
        <v>17</v>
      </c>
      <c r="F39" s="60" t="s">
        <v>299</v>
      </c>
      <c r="G39" s="56" t="s">
        <v>19</v>
      </c>
      <c r="H39" s="56" t="s">
        <v>24</v>
      </c>
      <c r="I39" s="56" t="s">
        <v>21</v>
      </c>
      <c r="J39" s="57" t="n">
        <v>45705</v>
      </c>
      <c r="K39" s="58" t="n">
        <v>0</v>
      </c>
      <c r="L39" s="59" t="n">
        <v>0</v>
      </c>
      <c r="M39" s="61" t="s">
        <v>300</v>
      </c>
      <c r="N39" s="60"/>
      <c r="O39" s="56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 customFormat="false" ht="22.5" hidden="true" customHeight="true" outlineLevel="0" collapsed="false">
      <c r="A40" s="57" t="n">
        <v>45705</v>
      </c>
      <c r="B40" s="57"/>
      <c r="C40" s="56" t="s">
        <v>101</v>
      </c>
      <c r="D40" s="56" t="s">
        <v>145</v>
      </c>
      <c r="E40" s="56" t="s">
        <v>17</v>
      </c>
      <c r="F40" s="60" t="s">
        <v>301</v>
      </c>
      <c r="G40" s="56" t="s">
        <v>19</v>
      </c>
      <c r="H40" s="56" t="s">
        <v>141</v>
      </c>
      <c r="I40" s="56" t="s">
        <v>21</v>
      </c>
      <c r="J40" s="57" t="n">
        <v>45705</v>
      </c>
      <c r="K40" s="58" t="n">
        <v>1</v>
      </c>
      <c r="L40" s="59" t="n">
        <v>0.0104166666666667</v>
      </c>
      <c r="M40" s="61" t="s">
        <v>302</v>
      </c>
      <c r="N40" s="60"/>
      <c r="O40" s="56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 customFormat="false" ht="22.5" hidden="false" customHeight="true" outlineLevel="0" collapsed="false">
      <c r="A41" s="57" t="n">
        <v>45705</v>
      </c>
      <c r="B41" s="44" t="n">
        <v>4</v>
      </c>
      <c r="C41" s="56" t="s">
        <v>101</v>
      </c>
      <c r="D41" s="56" t="s">
        <v>145</v>
      </c>
      <c r="E41" s="56" t="s">
        <v>17</v>
      </c>
      <c r="F41" s="60" t="s">
        <v>303</v>
      </c>
      <c r="G41" s="56" t="s">
        <v>48</v>
      </c>
      <c r="H41" s="56" t="s">
        <v>141</v>
      </c>
      <c r="I41" s="56" t="s">
        <v>21</v>
      </c>
      <c r="J41" s="57" t="n">
        <v>45705</v>
      </c>
      <c r="K41" s="58" t="n">
        <v>0.5</v>
      </c>
      <c r="L41" s="59" t="n">
        <v>0.0416666666666667</v>
      </c>
      <c r="M41" s="61" t="s">
        <v>304</v>
      </c>
      <c r="N41" s="60"/>
      <c r="O41" s="56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customFormat="false" ht="22.5" hidden="true" customHeight="true" outlineLevel="0" collapsed="false">
      <c r="A42" s="57" t="n">
        <v>45706</v>
      </c>
      <c r="B42" s="57"/>
      <c r="C42" s="56" t="s">
        <v>41</v>
      </c>
      <c r="D42" s="56" t="s">
        <v>16</v>
      </c>
      <c r="E42" s="56" t="s">
        <v>17</v>
      </c>
      <c r="F42" s="60" t="s">
        <v>280</v>
      </c>
      <c r="G42" s="56" t="s">
        <v>19</v>
      </c>
      <c r="H42" s="56" t="s">
        <v>70</v>
      </c>
      <c r="I42" s="56" t="s">
        <v>21</v>
      </c>
      <c r="J42" s="57" t="n">
        <v>45706</v>
      </c>
      <c r="K42" s="58" t="n">
        <v>2</v>
      </c>
      <c r="L42" s="59" t="n">
        <v>0.00902777777777778</v>
      </c>
      <c r="M42" s="31" t="s">
        <v>305</v>
      </c>
      <c r="N42" s="60"/>
      <c r="O42" s="56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 customFormat="false" ht="22.5" hidden="false" customHeight="true" outlineLevel="0" collapsed="false">
      <c r="A43" s="57" t="n">
        <v>45706</v>
      </c>
      <c r="B43" s="44" t="n">
        <v>4</v>
      </c>
      <c r="C43" s="56" t="s">
        <v>41</v>
      </c>
      <c r="D43" s="56" t="s">
        <v>145</v>
      </c>
      <c r="E43" s="56" t="s">
        <v>139</v>
      </c>
      <c r="F43" s="60" t="s">
        <v>306</v>
      </c>
      <c r="G43" s="56" t="s">
        <v>77</v>
      </c>
      <c r="H43" s="56" t="s">
        <v>141</v>
      </c>
      <c r="I43" s="56" t="s">
        <v>21</v>
      </c>
      <c r="J43" s="57" t="n">
        <v>45713</v>
      </c>
      <c r="K43" s="58" t="n">
        <v>1</v>
      </c>
      <c r="L43" s="59" t="n">
        <v>0.104861111111111</v>
      </c>
      <c r="M43" s="31" t="s">
        <v>307</v>
      </c>
      <c r="N43" s="60"/>
      <c r="O43" s="56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customFormat="false" ht="22.5" hidden="false" customHeight="true" outlineLevel="0" collapsed="false">
      <c r="A44" s="57" t="n">
        <v>45706</v>
      </c>
      <c r="B44" s="44" t="n">
        <v>4</v>
      </c>
      <c r="C44" s="56" t="s">
        <v>41</v>
      </c>
      <c r="D44" s="56" t="s">
        <v>196</v>
      </c>
      <c r="E44" s="56" t="s">
        <v>17</v>
      </c>
      <c r="F44" s="60" t="s">
        <v>308</v>
      </c>
      <c r="G44" s="56" t="s">
        <v>77</v>
      </c>
      <c r="H44" s="56" t="s">
        <v>53</v>
      </c>
      <c r="I44" s="56" t="s">
        <v>21</v>
      </c>
      <c r="J44" s="57" t="n">
        <v>45713</v>
      </c>
      <c r="K44" s="58" t="n">
        <v>2</v>
      </c>
      <c r="L44" s="59" t="n">
        <v>0.0847222222222222</v>
      </c>
      <c r="M44" s="61" t="s">
        <v>309</v>
      </c>
      <c r="N44" s="60"/>
      <c r="O44" s="56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customFormat="false" ht="22.5" hidden="false" customHeight="true" outlineLevel="0" collapsed="false">
      <c r="A45" s="57" t="n">
        <v>45706</v>
      </c>
      <c r="B45" s="44" t="n">
        <v>4</v>
      </c>
      <c r="C45" s="56" t="s">
        <v>41</v>
      </c>
      <c r="D45" s="56" t="s">
        <v>310</v>
      </c>
      <c r="E45" s="56" t="s">
        <v>17</v>
      </c>
      <c r="F45" s="60" t="s">
        <v>311</v>
      </c>
      <c r="G45" s="56" t="s">
        <v>77</v>
      </c>
      <c r="H45" s="56" t="s">
        <v>20</v>
      </c>
      <c r="I45" s="56" t="s">
        <v>21</v>
      </c>
      <c r="J45" s="57" t="n">
        <v>45342</v>
      </c>
      <c r="K45" s="58" t="n">
        <v>2</v>
      </c>
      <c r="L45" s="59" t="n">
        <v>0.139583333333333</v>
      </c>
      <c r="M45" s="61" t="s">
        <v>312</v>
      </c>
      <c r="N45" s="60"/>
      <c r="O45" s="56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customFormat="false" ht="22.5" hidden="true" customHeight="true" outlineLevel="0" collapsed="false">
      <c r="A46" s="57" t="n">
        <v>45706</v>
      </c>
      <c r="B46" s="57"/>
      <c r="C46" s="56" t="s">
        <v>41</v>
      </c>
      <c r="D46" s="56" t="s">
        <v>85</v>
      </c>
      <c r="E46" s="56" t="s">
        <v>17</v>
      </c>
      <c r="F46" s="60" t="s">
        <v>313</v>
      </c>
      <c r="G46" s="56" t="s">
        <v>19</v>
      </c>
      <c r="H46" s="56" t="s">
        <v>87</v>
      </c>
      <c r="I46" s="56" t="s">
        <v>314</v>
      </c>
      <c r="J46" s="57"/>
      <c r="K46" s="58" t="n">
        <v>1</v>
      </c>
      <c r="L46" s="59"/>
      <c r="M46" s="61" t="s">
        <v>315</v>
      </c>
      <c r="N46" s="60"/>
      <c r="O46" s="56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customFormat="false" ht="22.5" hidden="false" customHeight="true" outlineLevel="0" collapsed="false">
      <c r="A47" s="57" t="n">
        <v>45706</v>
      </c>
      <c r="B47" s="44" t="n">
        <v>4</v>
      </c>
      <c r="C47" s="56" t="s">
        <v>41</v>
      </c>
      <c r="D47" s="56" t="s">
        <v>145</v>
      </c>
      <c r="E47" s="56" t="s">
        <v>139</v>
      </c>
      <c r="F47" s="60" t="s">
        <v>316</v>
      </c>
      <c r="G47" s="56" t="s">
        <v>48</v>
      </c>
      <c r="H47" s="56" t="s">
        <v>74</v>
      </c>
      <c r="I47" s="56" t="s">
        <v>21</v>
      </c>
      <c r="J47" s="57" t="n">
        <v>45750</v>
      </c>
      <c r="K47" s="58" t="n">
        <v>2</v>
      </c>
      <c r="L47" s="59" t="n">
        <v>0.102083333333333</v>
      </c>
      <c r="M47" s="31" t="s">
        <v>317</v>
      </c>
      <c r="N47" s="60"/>
      <c r="O47" s="56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 customFormat="false" ht="22.5" hidden="true" customHeight="true" outlineLevel="0" collapsed="false">
      <c r="A48" s="57" t="n">
        <v>45707</v>
      </c>
      <c r="B48" s="57"/>
      <c r="C48" s="56" t="s">
        <v>60</v>
      </c>
      <c r="D48" s="56" t="s">
        <v>16</v>
      </c>
      <c r="E48" s="56" t="s">
        <v>17</v>
      </c>
      <c r="F48" s="60" t="s">
        <v>318</v>
      </c>
      <c r="G48" s="56" t="s">
        <v>19</v>
      </c>
      <c r="H48" s="56" t="s">
        <v>20</v>
      </c>
      <c r="I48" s="56" t="s">
        <v>21</v>
      </c>
      <c r="J48" s="57" t="n">
        <v>45707</v>
      </c>
      <c r="K48" s="58" t="n">
        <v>2</v>
      </c>
      <c r="L48" s="59" t="n">
        <v>0.0993055555555556</v>
      </c>
      <c r="M48" s="61" t="s">
        <v>319</v>
      </c>
      <c r="N48" s="60"/>
      <c r="O48" s="56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 customFormat="false" ht="22.5" hidden="true" customHeight="true" outlineLevel="0" collapsed="false">
      <c r="A49" s="57" t="n">
        <v>45707</v>
      </c>
      <c r="B49" s="57"/>
      <c r="C49" s="56" t="s">
        <v>60</v>
      </c>
      <c r="D49" s="56" t="s">
        <v>145</v>
      </c>
      <c r="E49" s="56" t="s">
        <v>139</v>
      </c>
      <c r="F49" s="60" t="s">
        <v>320</v>
      </c>
      <c r="G49" s="56" t="s">
        <v>19</v>
      </c>
      <c r="H49" s="56" t="s">
        <v>141</v>
      </c>
      <c r="I49" s="56" t="s">
        <v>21</v>
      </c>
      <c r="J49" s="57" t="n">
        <v>45707</v>
      </c>
      <c r="K49" s="58" t="n">
        <v>2</v>
      </c>
      <c r="L49" s="59" t="n">
        <v>0.0402777777777778</v>
      </c>
      <c r="M49" s="31" t="s">
        <v>321</v>
      </c>
      <c r="N49" s="60"/>
      <c r="O49" s="56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 customFormat="false" ht="22.5" hidden="false" customHeight="true" outlineLevel="0" collapsed="false">
      <c r="A50" s="57" t="n">
        <v>45707</v>
      </c>
      <c r="B50" s="44" t="n">
        <v>4</v>
      </c>
      <c r="C50" s="56" t="s">
        <v>60</v>
      </c>
      <c r="D50" s="56" t="s">
        <v>145</v>
      </c>
      <c r="E50" s="56" t="s">
        <v>139</v>
      </c>
      <c r="F50" s="60" t="s">
        <v>322</v>
      </c>
      <c r="G50" s="56" t="s">
        <v>77</v>
      </c>
      <c r="H50" s="56" t="s">
        <v>141</v>
      </c>
      <c r="I50" s="56" t="s">
        <v>21</v>
      </c>
      <c r="J50" s="57" t="n">
        <v>45707</v>
      </c>
      <c r="K50" s="58" t="n">
        <v>3</v>
      </c>
      <c r="L50" s="59" t="n">
        <v>0.0826388888888889</v>
      </c>
      <c r="M50" s="61" t="s">
        <v>323</v>
      </c>
      <c r="N50" s="60"/>
      <c r="O50" s="56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 customFormat="false" ht="22.5" hidden="false" customHeight="true" outlineLevel="0" collapsed="false">
      <c r="A51" s="57" t="n">
        <v>45707</v>
      </c>
      <c r="B51" s="44" t="n">
        <v>4</v>
      </c>
      <c r="C51" s="56" t="s">
        <v>60</v>
      </c>
      <c r="D51" s="56" t="s">
        <v>46</v>
      </c>
      <c r="E51" s="56" t="s">
        <v>17</v>
      </c>
      <c r="F51" s="60" t="s">
        <v>324</v>
      </c>
      <c r="G51" s="56" t="s">
        <v>77</v>
      </c>
      <c r="H51" s="56" t="s">
        <v>20</v>
      </c>
      <c r="I51" s="56" t="s">
        <v>21</v>
      </c>
      <c r="J51" s="57" t="n">
        <v>45708</v>
      </c>
      <c r="K51" s="58" t="n">
        <v>2</v>
      </c>
      <c r="L51" s="59" t="n">
        <v>0.0722222222222222</v>
      </c>
      <c r="M51" s="61" t="s">
        <v>325</v>
      </c>
      <c r="N51" s="60"/>
      <c r="O51" s="56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customFormat="false" ht="22.5" hidden="false" customHeight="true" outlineLevel="0" collapsed="false">
      <c r="A52" s="57" t="n">
        <v>45707</v>
      </c>
      <c r="B52" s="44" t="n">
        <v>4</v>
      </c>
      <c r="C52" s="56" t="s">
        <v>60</v>
      </c>
      <c r="D52" s="56" t="s">
        <v>130</v>
      </c>
      <c r="E52" s="56" t="s">
        <v>17</v>
      </c>
      <c r="F52" s="60" t="s">
        <v>326</v>
      </c>
      <c r="G52" s="56" t="s">
        <v>179</v>
      </c>
      <c r="H52" s="56" t="s">
        <v>87</v>
      </c>
      <c r="I52" s="56" t="s">
        <v>21</v>
      </c>
      <c r="J52" s="57" t="n">
        <v>45780</v>
      </c>
      <c r="K52" s="58" t="n">
        <v>1</v>
      </c>
      <c r="L52" s="59" t="n">
        <v>0.0534722222222222</v>
      </c>
      <c r="M52" s="61" t="s">
        <v>327</v>
      </c>
      <c r="N52" s="60"/>
      <c r="O52" s="56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customFormat="false" ht="22.5" hidden="false" customHeight="true" outlineLevel="0" collapsed="false">
      <c r="A53" s="57" t="n">
        <v>45707</v>
      </c>
      <c r="B53" s="44" t="n">
        <v>4</v>
      </c>
      <c r="C53" s="56" t="s">
        <v>60</v>
      </c>
      <c r="D53" s="56" t="s">
        <v>145</v>
      </c>
      <c r="E53" s="56" t="s">
        <v>139</v>
      </c>
      <c r="F53" s="60" t="s">
        <v>328</v>
      </c>
      <c r="G53" s="56" t="s">
        <v>77</v>
      </c>
      <c r="H53" s="56" t="s">
        <v>74</v>
      </c>
      <c r="I53" s="56" t="s">
        <v>21</v>
      </c>
      <c r="J53" s="57" t="n">
        <v>45707</v>
      </c>
      <c r="K53" s="58"/>
      <c r="L53" s="59" t="n">
        <v>0.0423611111111111</v>
      </c>
      <c r="M53" s="31" t="s">
        <v>329</v>
      </c>
      <c r="N53" s="60"/>
      <c r="O53" s="56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customFormat="false" ht="22.5" hidden="true" customHeight="true" outlineLevel="0" collapsed="false">
      <c r="A54" s="57" t="n">
        <v>45708</v>
      </c>
      <c r="B54" s="57"/>
      <c r="C54" s="56" t="s">
        <v>15</v>
      </c>
      <c r="D54" s="56" t="s">
        <v>16</v>
      </c>
      <c r="E54" s="56" t="s">
        <v>17</v>
      </c>
      <c r="F54" s="60" t="s">
        <v>330</v>
      </c>
      <c r="G54" s="56" t="s">
        <v>19</v>
      </c>
      <c r="H54" s="56" t="s">
        <v>24</v>
      </c>
      <c r="I54" s="56" t="s">
        <v>21</v>
      </c>
      <c r="J54" s="57" t="n">
        <v>45708</v>
      </c>
      <c r="K54" s="58" t="n">
        <v>0</v>
      </c>
      <c r="L54" s="59" t="n">
        <v>0</v>
      </c>
      <c r="M54" s="61" t="s">
        <v>331</v>
      </c>
      <c r="N54" s="60"/>
      <c r="O54" s="56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 customFormat="false" ht="22.5" hidden="false" customHeight="true" outlineLevel="0" collapsed="false">
      <c r="A55" s="57" t="n">
        <v>45708</v>
      </c>
      <c r="B55" s="44" t="n">
        <v>4</v>
      </c>
      <c r="C55" s="56" t="s">
        <v>15</v>
      </c>
      <c r="D55" s="56" t="s">
        <v>145</v>
      </c>
      <c r="E55" s="56" t="s">
        <v>139</v>
      </c>
      <c r="F55" s="60" t="s">
        <v>332</v>
      </c>
      <c r="G55" s="56" t="s">
        <v>77</v>
      </c>
      <c r="H55" s="56" t="s">
        <v>141</v>
      </c>
      <c r="I55" s="56" t="s">
        <v>21</v>
      </c>
      <c r="J55" s="57" t="n">
        <v>45707</v>
      </c>
      <c r="K55" s="58" t="n">
        <v>2</v>
      </c>
      <c r="L55" s="59" t="n">
        <v>0.0458333333333333</v>
      </c>
      <c r="M55" s="31" t="s">
        <v>333</v>
      </c>
      <c r="N55" s="60"/>
      <c r="O55" s="56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customFormat="false" ht="22.5" hidden="true" customHeight="true" outlineLevel="0" collapsed="false">
      <c r="A56" s="57" t="n">
        <v>45708</v>
      </c>
      <c r="B56" s="57"/>
      <c r="C56" s="56" t="s">
        <v>15</v>
      </c>
      <c r="D56" s="56" t="s">
        <v>145</v>
      </c>
      <c r="E56" s="56" t="s">
        <v>139</v>
      </c>
      <c r="F56" s="60" t="s">
        <v>334</v>
      </c>
      <c r="G56" s="56" t="s">
        <v>19</v>
      </c>
      <c r="H56" s="56" t="s">
        <v>141</v>
      </c>
      <c r="I56" s="56" t="s">
        <v>21</v>
      </c>
      <c r="J56" s="57" t="n">
        <v>45708</v>
      </c>
      <c r="K56" s="58" t="n">
        <v>0.5</v>
      </c>
      <c r="L56" s="59" t="n">
        <v>0.0104166666666667</v>
      </c>
      <c r="M56" s="61" t="s">
        <v>335</v>
      </c>
      <c r="N56" s="60"/>
      <c r="O56" s="56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 customFormat="false" ht="22.5" hidden="false" customHeight="true" outlineLevel="0" collapsed="false">
      <c r="A57" s="57" t="n">
        <v>45709</v>
      </c>
      <c r="B57" s="44" t="n">
        <v>4</v>
      </c>
      <c r="C57" s="56" t="s">
        <v>36</v>
      </c>
      <c r="D57" s="56" t="s">
        <v>145</v>
      </c>
      <c r="E57" s="56" t="s">
        <v>17</v>
      </c>
      <c r="F57" s="60" t="s">
        <v>336</v>
      </c>
      <c r="G57" s="56" t="s">
        <v>77</v>
      </c>
      <c r="H57" s="56" t="s">
        <v>87</v>
      </c>
      <c r="I57" s="56" t="s">
        <v>21</v>
      </c>
      <c r="J57" s="57" t="n">
        <v>45719</v>
      </c>
      <c r="K57" s="58" t="n">
        <v>3</v>
      </c>
      <c r="L57" s="59" t="n">
        <v>0.461111111111111</v>
      </c>
      <c r="M57" s="61" t="s">
        <v>337</v>
      </c>
      <c r="N57" s="60"/>
      <c r="O57" s="56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 customFormat="false" ht="22.5" hidden="true" customHeight="true" outlineLevel="0" collapsed="false">
      <c r="A58" s="57" t="n">
        <v>45709</v>
      </c>
      <c r="B58" s="57"/>
      <c r="C58" s="56" t="s">
        <v>36</v>
      </c>
      <c r="D58" s="56" t="s">
        <v>145</v>
      </c>
      <c r="E58" s="56" t="s">
        <v>139</v>
      </c>
      <c r="F58" s="60" t="s">
        <v>338</v>
      </c>
      <c r="G58" s="56" t="s">
        <v>19</v>
      </c>
      <c r="H58" s="56" t="s">
        <v>141</v>
      </c>
      <c r="I58" s="56" t="s">
        <v>21</v>
      </c>
      <c r="J58" s="57" t="n">
        <v>45709</v>
      </c>
      <c r="K58" s="58" t="n">
        <v>1</v>
      </c>
      <c r="L58" s="59" t="n">
        <v>0.0104166666666667</v>
      </c>
      <c r="M58" s="61" t="s">
        <v>339</v>
      </c>
      <c r="N58" s="60"/>
      <c r="O58" s="56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 customFormat="false" ht="22.5" hidden="true" customHeight="true" outlineLevel="0" collapsed="false">
      <c r="A59" s="57" t="n">
        <v>45709</v>
      </c>
      <c r="B59" s="57"/>
      <c r="C59" s="56" t="s">
        <v>36</v>
      </c>
      <c r="D59" s="56" t="s">
        <v>16</v>
      </c>
      <c r="E59" s="56" t="s">
        <v>17</v>
      </c>
      <c r="F59" s="60" t="s">
        <v>340</v>
      </c>
      <c r="G59" s="56" t="s">
        <v>19</v>
      </c>
      <c r="H59" s="56" t="s">
        <v>20</v>
      </c>
      <c r="I59" s="56" t="s">
        <v>21</v>
      </c>
      <c r="J59" s="57" t="n">
        <v>45709</v>
      </c>
      <c r="K59" s="58" t="n">
        <v>0.5</v>
      </c>
      <c r="L59" s="59" t="n">
        <v>0.00416666666666667</v>
      </c>
      <c r="M59" s="61" t="s">
        <v>341</v>
      </c>
      <c r="N59" s="60"/>
      <c r="O59" s="56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 customFormat="false" ht="22.5" hidden="true" customHeight="true" outlineLevel="0" collapsed="false">
      <c r="A60" s="57" t="n">
        <v>45709</v>
      </c>
      <c r="B60" s="57"/>
      <c r="C60" s="56" t="s">
        <v>36</v>
      </c>
      <c r="D60" s="56" t="s">
        <v>16</v>
      </c>
      <c r="E60" s="56" t="s">
        <v>17</v>
      </c>
      <c r="F60" s="60" t="s">
        <v>210</v>
      </c>
      <c r="G60" s="56" t="s">
        <v>19</v>
      </c>
      <c r="H60" s="56" t="s">
        <v>20</v>
      </c>
      <c r="I60" s="56" t="s">
        <v>21</v>
      </c>
      <c r="J60" s="57" t="n">
        <v>45709</v>
      </c>
      <c r="K60" s="58" t="n">
        <v>1</v>
      </c>
      <c r="L60" s="59" t="n">
        <v>0.0708333333333333</v>
      </c>
      <c r="M60" s="61" t="s">
        <v>342</v>
      </c>
      <c r="N60" s="60"/>
      <c r="O60" s="56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 customFormat="false" ht="22.5" hidden="true" customHeight="true" outlineLevel="0" collapsed="false">
      <c r="A61" s="57" t="n">
        <v>45712</v>
      </c>
      <c r="B61" s="57"/>
      <c r="C61" s="56" t="s">
        <v>101</v>
      </c>
      <c r="D61" s="56" t="s">
        <v>16</v>
      </c>
      <c r="E61" s="56" t="s">
        <v>17</v>
      </c>
      <c r="F61" s="60" t="s">
        <v>343</v>
      </c>
      <c r="G61" s="56" t="s">
        <v>19</v>
      </c>
      <c r="H61" s="56" t="s">
        <v>20</v>
      </c>
      <c r="I61" s="56" t="s">
        <v>21</v>
      </c>
      <c r="J61" s="57" t="n">
        <v>45712</v>
      </c>
      <c r="K61" s="58" t="n">
        <v>1</v>
      </c>
      <c r="L61" s="59" t="n">
        <v>0.0645833333333333</v>
      </c>
      <c r="M61" s="61" t="s">
        <v>344</v>
      </c>
      <c r="N61" s="60"/>
      <c r="O61" s="56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</row>
    <row r="62" customFormat="false" ht="22.5" hidden="false" customHeight="true" outlineLevel="0" collapsed="false">
      <c r="A62" s="57" t="n">
        <v>45712</v>
      </c>
      <c r="B62" s="44" t="n">
        <v>4</v>
      </c>
      <c r="C62" s="56" t="s">
        <v>101</v>
      </c>
      <c r="D62" s="56" t="s">
        <v>16</v>
      </c>
      <c r="E62" s="56" t="s">
        <v>17</v>
      </c>
      <c r="F62" s="60" t="s">
        <v>345</v>
      </c>
      <c r="G62" s="56" t="s">
        <v>77</v>
      </c>
      <c r="H62" s="56" t="s">
        <v>20</v>
      </c>
      <c r="I62" s="56" t="s">
        <v>21</v>
      </c>
      <c r="J62" s="57" t="n">
        <v>45712</v>
      </c>
      <c r="K62" s="58" t="n">
        <v>3</v>
      </c>
      <c r="L62" s="59" t="n">
        <v>0.0569444444444444</v>
      </c>
      <c r="M62" s="31" t="s">
        <v>346</v>
      </c>
      <c r="N62" s="60"/>
      <c r="O62" s="56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 customFormat="false" ht="22.5" hidden="true" customHeight="true" outlineLevel="0" collapsed="false">
      <c r="A63" s="57" t="n">
        <v>45713</v>
      </c>
      <c r="B63" s="57"/>
      <c r="C63" s="56" t="s">
        <v>41</v>
      </c>
      <c r="D63" s="56" t="s">
        <v>145</v>
      </c>
      <c r="E63" s="56" t="s">
        <v>139</v>
      </c>
      <c r="F63" s="60" t="s">
        <v>347</v>
      </c>
      <c r="G63" s="56" t="s">
        <v>19</v>
      </c>
      <c r="H63" s="56" t="s">
        <v>141</v>
      </c>
      <c r="I63" s="56" t="s">
        <v>21</v>
      </c>
      <c r="J63" s="57" t="n">
        <v>45714</v>
      </c>
      <c r="K63" s="58" t="n">
        <v>2</v>
      </c>
      <c r="L63" s="59" t="n">
        <v>0.0152777777777778</v>
      </c>
      <c r="M63" s="61" t="s">
        <v>348</v>
      </c>
      <c r="N63" s="60"/>
      <c r="O63" s="56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 customFormat="false" ht="22.5" hidden="true" customHeight="true" outlineLevel="0" collapsed="false">
      <c r="A64" s="57" t="n">
        <v>45713</v>
      </c>
      <c r="B64" s="57"/>
      <c r="C64" s="56" t="s">
        <v>41</v>
      </c>
      <c r="D64" s="56" t="s">
        <v>46</v>
      </c>
      <c r="E64" s="56" t="s">
        <v>17</v>
      </c>
      <c r="F64" s="60" t="s">
        <v>349</v>
      </c>
      <c r="G64" s="56" t="s">
        <v>19</v>
      </c>
      <c r="H64" s="56" t="s">
        <v>53</v>
      </c>
      <c r="I64" s="56" t="s">
        <v>350</v>
      </c>
      <c r="J64" s="57" t="n">
        <v>45716</v>
      </c>
      <c r="K64" s="58" t="n">
        <v>1</v>
      </c>
      <c r="L64" s="59" t="n">
        <v>0.0826388888888889</v>
      </c>
      <c r="M64" s="61" t="s">
        <v>351</v>
      </c>
      <c r="N64" s="60"/>
      <c r="O64" s="56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 customFormat="false" ht="22.5" hidden="true" customHeight="true" outlineLevel="0" collapsed="false">
      <c r="A65" s="57" t="n">
        <v>45713</v>
      </c>
      <c r="B65" s="57"/>
      <c r="C65" s="56" t="s">
        <v>41</v>
      </c>
      <c r="D65" s="56" t="s">
        <v>126</v>
      </c>
      <c r="E65" s="56" t="s">
        <v>17</v>
      </c>
      <c r="F65" s="60" t="s">
        <v>352</v>
      </c>
      <c r="G65" s="56" t="s">
        <v>19</v>
      </c>
      <c r="H65" s="56" t="s">
        <v>53</v>
      </c>
      <c r="I65" s="56" t="s">
        <v>350</v>
      </c>
      <c r="J65" s="57" t="n">
        <v>45716</v>
      </c>
      <c r="K65" s="58" t="n">
        <v>1</v>
      </c>
      <c r="L65" s="59" t="n">
        <v>0.0604166666666667</v>
      </c>
      <c r="M65" s="61" t="s">
        <v>353</v>
      </c>
      <c r="N65" s="60"/>
      <c r="O65" s="56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 customFormat="false" ht="22.5" hidden="true" customHeight="true" outlineLevel="0" collapsed="false">
      <c r="A66" s="57" t="n">
        <v>45713</v>
      </c>
      <c r="B66" s="57"/>
      <c r="C66" s="56" t="s">
        <v>41</v>
      </c>
      <c r="D66" s="56" t="s">
        <v>85</v>
      </c>
      <c r="E66" s="56" t="s">
        <v>17</v>
      </c>
      <c r="F66" s="60" t="s">
        <v>354</v>
      </c>
      <c r="G66" s="56" t="s">
        <v>19</v>
      </c>
      <c r="H66" s="56"/>
      <c r="I66" s="56" t="s">
        <v>350</v>
      </c>
      <c r="J66" s="57" t="n">
        <v>45713</v>
      </c>
      <c r="K66" s="58" t="n">
        <v>0</v>
      </c>
      <c r="L66" s="59" t="n">
        <v>0.0152777777777778</v>
      </c>
      <c r="M66" s="61" t="s">
        <v>355</v>
      </c>
      <c r="N66" s="60"/>
      <c r="O66" s="56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 customFormat="false" ht="22.5" hidden="false" customHeight="true" outlineLevel="0" collapsed="false">
      <c r="A67" s="57" t="n">
        <v>45713</v>
      </c>
      <c r="B67" s="44" t="n">
        <v>4</v>
      </c>
      <c r="C67" s="56" t="s">
        <v>41</v>
      </c>
      <c r="D67" s="56" t="s">
        <v>145</v>
      </c>
      <c r="E67" s="56" t="s">
        <v>139</v>
      </c>
      <c r="F67" s="60" t="s">
        <v>356</v>
      </c>
      <c r="G67" s="56" t="s">
        <v>48</v>
      </c>
      <c r="H67" s="56" t="s">
        <v>141</v>
      </c>
      <c r="I67" s="56" t="s">
        <v>21</v>
      </c>
      <c r="J67" s="57" t="n">
        <v>45713</v>
      </c>
      <c r="K67" s="56" t="n">
        <v>0.5</v>
      </c>
      <c r="L67" s="59" t="n">
        <v>0.0104166666666667</v>
      </c>
      <c r="M67" s="61" t="s">
        <v>357</v>
      </c>
      <c r="N67" s="60"/>
      <c r="O67" s="56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customFormat="false" ht="22.5" hidden="false" customHeight="true" outlineLevel="0" collapsed="false">
      <c r="A68" s="57" t="n">
        <v>45713</v>
      </c>
      <c r="B68" s="44" t="n">
        <v>4</v>
      </c>
      <c r="C68" s="56" t="s">
        <v>41</v>
      </c>
      <c r="D68" s="56" t="s">
        <v>145</v>
      </c>
      <c r="E68" s="56" t="s">
        <v>139</v>
      </c>
      <c r="F68" s="60" t="s">
        <v>358</v>
      </c>
      <c r="G68" s="56" t="s">
        <v>48</v>
      </c>
      <c r="H68" s="56" t="s">
        <v>141</v>
      </c>
      <c r="I68" s="56" t="s">
        <v>21</v>
      </c>
      <c r="J68" s="57" t="n">
        <v>45713</v>
      </c>
      <c r="K68" s="56" t="n">
        <v>1</v>
      </c>
      <c r="L68" s="59" t="n">
        <v>0.0416666666666667</v>
      </c>
      <c r="M68" s="61" t="s">
        <v>359</v>
      </c>
      <c r="N68" s="60"/>
      <c r="O68" s="56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 customFormat="false" ht="22.5" hidden="false" customHeight="true" outlineLevel="0" collapsed="false">
      <c r="A69" s="57" t="n">
        <v>45713</v>
      </c>
      <c r="B69" s="44" t="n">
        <v>4</v>
      </c>
      <c r="C69" s="56" t="s">
        <v>41</v>
      </c>
      <c r="D69" s="56" t="s">
        <v>145</v>
      </c>
      <c r="E69" s="56" t="s">
        <v>139</v>
      </c>
      <c r="F69" s="60" t="s">
        <v>360</v>
      </c>
      <c r="G69" s="56" t="s">
        <v>48</v>
      </c>
      <c r="H69" s="56" t="s">
        <v>141</v>
      </c>
      <c r="I69" s="56" t="s">
        <v>21</v>
      </c>
      <c r="J69" s="57" t="n">
        <v>45715</v>
      </c>
      <c r="K69" s="56" t="n">
        <v>1</v>
      </c>
      <c r="L69" s="59" t="n">
        <v>0.0416666666666667</v>
      </c>
      <c r="M69" s="61" t="s">
        <v>361</v>
      </c>
      <c r="N69" s="60"/>
      <c r="O69" s="56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 customFormat="false" ht="22.5" hidden="false" customHeight="true" outlineLevel="0" collapsed="false">
      <c r="A70" s="57" t="n">
        <v>45714</v>
      </c>
      <c r="B70" s="44" t="n">
        <v>4</v>
      </c>
      <c r="C70" s="56" t="s">
        <v>60</v>
      </c>
      <c r="D70" s="56" t="s">
        <v>16</v>
      </c>
      <c r="E70" s="56" t="s">
        <v>139</v>
      </c>
      <c r="F70" s="60" t="s">
        <v>362</v>
      </c>
      <c r="G70" s="56" t="s">
        <v>77</v>
      </c>
      <c r="H70" s="56" t="s">
        <v>24</v>
      </c>
      <c r="I70" s="56" t="s">
        <v>21</v>
      </c>
      <c r="J70" s="57" t="n">
        <v>45714</v>
      </c>
      <c r="K70" s="56" t="n">
        <v>0</v>
      </c>
      <c r="L70" s="59" t="n">
        <v>0</v>
      </c>
      <c r="M70" s="61" t="s">
        <v>363</v>
      </c>
      <c r="N70" s="60"/>
      <c r="O70" s="56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 customFormat="false" ht="22.5" hidden="false" customHeight="true" outlineLevel="0" collapsed="false">
      <c r="A71" s="57" t="n">
        <v>45714</v>
      </c>
      <c r="B71" s="44" t="n">
        <v>4</v>
      </c>
      <c r="C71" s="56" t="s">
        <v>60</v>
      </c>
      <c r="D71" s="56" t="s">
        <v>364</v>
      </c>
      <c r="E71" s="56" t="s">
        <v>17</v>
      </c>
      <c r="F71" s="64" t="s">
        <v>365</v>
      </c>
      <c r="G71" s="56" t="s">
        <v>77</v>
      </c>
      <c r="H71" s="56" t="s">
        <v>20</v>
      </c>
      <c r="I71" s="56" t="s">
        <v>21</v>
      </c>
      <c r="J71" s="57" t="n">
        <v>45719</v>
      </c>
      <c r="K71" s="56" t="n">
        <v>3</v>
      </c>
      <c r="L71" s="59" t="n">
        <v>0.719444444444444</v>
      </c>
      <c r="M71" s="31" t="s">
        <v>366</v>
      </c>
      <c r="N71" s="60"/>
      <c r="O71" s="56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customFormat="false" ht="22.5" hidden="true" customHeight="true" outlineLevel="0" collapsed="false">
      <c r="A72" s="57" t="n">
        <v>45714</v>
      </c>
      <c r="B72" s="57"/>
      <c r="C72" s="56" t="s">
        <v>60</v>
      </c>
      <c r="D72" s="56" t="s">
        <v>145</v>
      </c>
      <c r="E72" s="56" t="s">
        <v>139</v>
      </c>
      <c r="F72" s="60" t="s">
        <v>367</v>
      </c>
      <c r="G72" s="56" t="s">
        <v>19</v>
      </c>
      <c r="H72" s="56" t="s">
        <v>141</v>
      </c>
      <c r="I72" s="56" t="s">
        <v>21</v>
      </c>
      <c r="J72" s="57" t="n">
        <v>45716</v>
      </c>
      <c r="K72" s="56" t="n">
        <v>1</v>
      </c>
      <c r="L72" s="59" t="n">
        <v>0.0208333333333333</v>
      </c>
      <c r="M72" s="61" t="s">
        <v>368</v>
      </c>
      <c r="N72" s="60"/>
      <c r="O72" s="56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customFormat="false" ht="22.5" hidden="false" customHeight="true" outlineLevel="0" collapsed="false">
      <c r="A73" s="57" t="n">
        <v>45714</v>
      </c>
      <c r="B73" s="44" t="n">
        <v>4</v>
      </c>
      <c r="C73" s="56" t="s">
        <v>60</v>
      </c>
      <c r="D73" s="56" t="s">
        <v>167</v>
      </c>
      <c r="E73" s="56" t="s">
        <v>17</v>
      </c>
      <c r="F73" s="60" t="s">
        <v>369</v>
      </c>
      <c r="G73" s="56" t="s">
        <v>77</v>
      </c>
      <c r="H73" s="56" t="s">
        <v>20</v>
      </c>
      <c r="I73" s="56" t="s">
        <v>21</v>
      </c>
      <c r="J73" s="57" t="n">
        <v>45715</v>
      </c>
      <c r="K73" s="56" t="n">
        <v>1</v>
      </c>
      <c r="L73" s="59" t="n">
        <v>0.0416666666666667</v>
      </c>
      <c r="M73" s="61" t="s">
        <v>370</v>
      </c>
      <c r="N73" s="60"/>
      <c r="O73" s="56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customFormat="false" ht="22.5" hidden="true" customHeight="true" outlineLevel="0" collapsed="false">
      <c r="A74" s="57" t="n">
        <v>45715</v>
      </c>
      <c r="B74" s="57"/>
      <c r="C74" s="56" t="s">
        <v>15</v>
      </c>
      <c r="D74" s="56" t="s">
        <v>16</v>
      </c>
      <c r="E74" s="56" t="s">
        <v>17</v>
      </c>
      <c r="F74" s="60" t="s">
        <v>280</v>
      </c>
      <c r="G74" s="56" t="s">
        <v>19</v>
      </c>
      <c r="H74" s="56" t="s">
        <v>20</v>
      </c>
      <c r="I74" s="56" t="s">
        <v>21</v>
      </c>
      <c r="J74" s="57" t="n">
        <v>45715</v>
      </c>
      <c r="K74" s="56" t="n">
        <v>1</v>
      </c>
      <c r="L74" s="59" t="n">
        <v>0.0270833333333333</v>
      </c>
      <c r="M74" s="61" t="s">
        <v>371</v>
      </c>
      <c r="N74" s="60"/>
      <c r="O74" s="56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 customFormat="false" ht="22.5" hidden="true" customHeight="true" outlineLevel="0" collapsed="false">
      <c r="A75" s="57" t="n">
        <v>45715</v>
      </c>
      <c r="B75" s="57"/>
      <c r="C75" s="56" t="s">
        <v>15</v>
      </c>
      <c r="D75" s="56" t="s">
        <v>16</v>
      </c>
      <c r="E75" s="56" t="s">
        <v>17</v>
      </c>
      <c r="F75" s="60" t="s">
        <v>372</v>
      </c>
      <c r="G75" s="56" t="s">
        <v>19</v>
      </c>
      <c r="H75" s="56" t="s">
        <v>20</v>
      </c>
      <c r="I75" s="56" t="s">
        <v>350</v>
      </c>
      <c r="J75" s="57" t="n">
        <v>45715</v>
      </c>
      <c r="K75" s="56" t="n">
        <v>2</v>
      </c>
      <c r="L75" s="59" t="n">
        <v>0.102083333333333</v>
      </c>
      <c r="M75" s="31" t="s">
        <v>373</v>
      </c>
      <c r="N75" s="60"/>
      <c r="O75" s="56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 customFormat="false" ht="22.5" hidden="true" customHeight="true" outlineLevel="0" collapsed="false">
      <c r="A76" s="57" t="n">
        <v>45715</v>
      </c>
      <c r="B76" s="57"/>
      <c r="C76" s="56" t="s">
        <v>15</v>
      </c>
      <c r="D76" s="56" t="s">
        <v>16</v>
      </c>
      <c r="E76" s="56" t="s">
        <v>17</v>
      </c>
      <c r="F76" s="60" t="s">
        <v>374</v>
      </c>
      <c r="G76" s="56" t="s">
        <v>19</v>
      </c>
      <c r="H76" s="56" t="s">
        <v>20</v>
      </c>
      <c r="I76" s="56" t="s">
        <v>375</v>
      </c>
      <c r="J76" s="57" t="n">
        <v>45715</v>
      </c>
      <c r="K76" s="56" t="n">
        <v>1</v>
      </c>
      <c r="L76" s="59" t="n">
        <v>0.0104166666666667</v>
      </c>
      <c r="M76" s="61" t="s">
        <v>376</v>
      </c>
      <c r="N76" s="60"/>
      <c r="O76" s="56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 customFormat="false" ht="22.5" hidden="true" customHeight="true" outlineLevel="0" collapsed="false">
      <c r="A77" s="57" t="n">
        <v>45716</v>
      </c>
      <c r="B77" s="57"/>
      <c r="C77" s="56" t="s">
        <v>36</v>
      </c>
      <c r="D77" s="56" t="s">
        <v>16</v>
      </c>
      <c r="E77" s="56" t="s">
        <v>17</v>
      </c>
      <c r="F77" s="60" t="s">
        <v>377</v>
      </c>
      <c r="G77" s="56" t="s">
        <v>19</v>
      </c>
      <c r="H77" s="56" t="s">
        <v>20</v>
      </c>
      <c r="I77" s="56" t="s">
        <v>21</v>
      </c>
      <c r="J77" s="57" t="n">
        <v>45716</v>
      </c>
      <c r="K77" s="56" t="n">
        <v>1</v>
      </c>
      <c r="L77" s="59" t="n">
        <v>0.0416666666666667</v>
      </c>
      <c r="M77" s="61" t="s">
        <v>378</v>
      </c>
      <c r="N77" s="60"/>
      <c r="O77" s="56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 customFormat="false" ht="22.5" hidden="false" customHeight="true" outlineLevel="0" collapsed="false">
      <c r="A78" s="57" t="n">
        <v>45716</v>
      </c>
      <c r="B78" s="44" t="n">
        <v>4</v>
      </c>
      <c r="C78" s="56" t="s">
        <v>36</v>
      </c>
      <c r="D78" s="56" t="s">
        <v>145</v>
      </c>
      <c r="E78" s="56" t="s">
        <v>139</v>
      </c>
      <c r="F78" s="60" t="s">
        <v>379</v>
      </c>
      <c r="G78" s="56" t="s">
        <v>48</v>
      </c>
      <c r="H78" s="56" t="s">
        <v>141</v>
      </c>
      <c r="I78" s="56" t="s">
        <v>21</v>
      </c>
      <c r="J78" s="57" t="n">
        <v>45716</v>
      </c>
      <c r="K78" s="56" t="n">
        <v>1</v>
      </c>
      <c r="L78" s="59" t="n">
        <v>0.0673611111111111</v>
      </c>
      <c r="M78" s="61" t="s">
        <v>380</v>
      </c>
      <c r="N78" s="60"/>
      <c r="O78" s="56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</row>
    <row r="914" customFormat="false" ht="15.75" hidden="false" customHeight="false" outlineLevel="0" collapsed="false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6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</row>
    <row r="915" customFormat="false" ht="15.75" hidden="false" customHeight="false" outlineLevel="0" collapsed="false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6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</row>
    <row r="916" customFormat="false" ht="15.75" hidden="false" customHeight="false" outlineLevel="0" collapsed="false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6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</row>
    <row r="917" customFormat="false" ht="15.75" hidden="false" customHeight="false" outlineLevel="0" collapsed="false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6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</row>
    <row r="918" customFormat="false" ht="15.75" hidden="false" customHeight="false" outlineLevel="0" collapsed="false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6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</row>
    <row r="919" customFormat="false" ht="15.75" hidden="false" customHeight="false" outlineLevel="0" collapsed="false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6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</row>
    <row r="920" customFormat="false" ht="15.75" hidden="false" customHeight="false" outlineLevel="0" collapsed="false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6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</row>
    <row r="921" customFormat="false" ht="15.75" hidden="false" customHeight="false" outlineLevel="0" collapsed="false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6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</row>
    <row r="922" customFormat="false" ht="15.75" hidden="false" customHeight="false" outlineLevel="0" collapsed="false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6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</row>
    <row r="923" customFormat="false" ht="15.75" hidden="false" customHeight="false" outlineLevel="0" collapsed="false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6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</row>
    <row r="924" customFormat="false" ht="15.75" hidden="false" customHeight="false" outlineLevel="0" collapsed="false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6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</row>
    <row r="925" customFormat="false" ht="15.75" hidden="false" customHeight="false" outlineLevel="0" collapsed="false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6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</row>
    <row r="926" customFormat="false" ht="15.75" hidden="false" customHeight="false" outlineLevel="0" collapsed="false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6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</row>
    <row r="927" customFormat="false" ht="15.75" hidden="false" customHeight="false" outlineLevel="0" collapsed="false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6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</row>
    <row r="928" customFormat="false" ht="15.75" hidden="false" customHeight="false" outlineLevel="0" collapsed="false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6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</row>
    <row r="929" customFormat="false" ht="15.75" hidden="false" customHeight="false" outlineLevel="0" collapsed="false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6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</row>
    <row r="930" customFormat="false" ht="15.75" hidden="false" customHeight="false" outlineLevel="0" collapsed="false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6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</row>
    <row r="931" customFormat="false" ht="15.75" hidden="false" customHeight="false" outlineLevel="0" collapsed="false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6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</row>
    <row r="932" customFormat="false" ht="15.75" hidden="false" customHeight="false" outlineLevel="0" collapsed="false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6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</row>
    <row r="933" customFormat="false" ht="15.75" hidden="false" customHeight="false" outlineLevel="0" collapsed="false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6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</row>
    <row r="934" customFormat="false" ht="15.75" hidden="false" customHeight="false" outlineLevel="0" collapsed="false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6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</row>
    <row r="935" customFormat="false" ht="15.75" hidden="false" customHeight="false" outlineLevel="0" collapsed="false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6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</row>
    <row r="936" customFormat="false" ht="15.75" hidden="false" customHeight="false" outlineLevel="0" collapsed="false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6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</row>
    <row r="937" customFormat="false" ht="15.75" hidden="false" customHeight="false" outlineLevel="0" collapsed="false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6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</row>
    <row r="938" customFormat="false" ht="15.75" hidden="false" customHeight="false" outlineLevel="0" collapsed="false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6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</row>
    <row r="939" customFormat="false" ht="15.75" hidden="false" customHeight="false" outlineLevel="0" collapsed="false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6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</row>
    <row r="940" customFormat="false" ht="15.75" hidden="false" customHeight="false" outlineLevel="0" collapsed="false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6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</row>
    <row r="941" customFormat="false" ht="15.75" hidden="false" customHeight="false" outlineLevel="0" collapsed="false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6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</row>
    <row r="942" customFormat="false" ht="15.75" hidden="false" customHeight="false" outlineLevel="0" collapsed="false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6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</row>
    <row r="943" customFormat="false" ht="15.75" hidden="false" customHeight="false" outlineLevel="0" collapsed="false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6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</row>
    <row r="944" customFormat="false" ht="15.75" hidden="false" customHeight="false" outlineLevel="0" collapsed="false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6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</row>
    <row r="945" customFormat="false" ht="15.75" hidden="false" customHeight="false" outlineLevel="0" collapsed="false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6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</row>
    <row r="946" customFormat="false" ht="15.75" hidden="false" customHeight="false" outlineLevel="0" collapsed="false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6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</row>
    <row r="947" customFormat="false" ht="15.75" hidden="false" customHeight="false" outlineLevel="0" collapsed="false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6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</row>
    <row r="948" customFormat="false" ht="15.75" hidden="false" customHeight="false" outlineLevel="0" collapsed="false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6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</row>
    <row r="949" customFormat="false" ht="15.75" hidden="false" customHeight="false" outlineLevel="0" collapsed="false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6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</row>
    <row r="950" customFormat="false" ht="15.75" hidden="false" customHeight="false" outlineLevel="0" collapsed="false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6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</row>
    <row r="951" customFormat="false" ht="15.75" hidden="false" customHeight="false" outlineLevel="0" collapsed="false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6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</row>
    <row r="952" customFormat="false" ht="15.75" hidden="false" customHeight="false" outlineLevel="0" collapsed="false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6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</row>
    <row r="953" customFormat="false" ht="15.75" hidden="false" customHeight="false" outlineLevel="0" collapsed="false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6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</row>
    <row r="954" customFormat="false" ht="15.75" hidden="false" customHeight="false" outlineLevel="0" collapsed="false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6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</row>
    <row r="955" customFormat="false" ht="15.75" hidden="false" customHeight="false" outlineLevel="0" collapsed="false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6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</row>
    <row r="956" customFormat="false" ht="15.75" hidden="false" customHeight="false" outlineLevel="0" collapsed="false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6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</row>
    <row r="957" customFormat="false" ht="15.75" hidden="false" customHeight="false" outlineLevel="0" collapsed="false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6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</row>
    <row r="958" customFormat="false" ht="15.75" hidden="false" customHeight="false" outlineLevel="0" collapsed="false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6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</row>
    <row r="959" customFormat="false" ht="15.75" hidden="false" customHeight="false" outlineLevel="0" collapsed="false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6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</row>
    <row r="960" customFormat="false" ht="15.75" hidden="false" customHeight="false" outlineLevel="0" collapsed="false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6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</row>
    <row r="961" customFormat="false" ht="15.75" hidden="false" customHeight="false" outlineLevel="0" collapsed="false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6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</row>
    <row r="962" customFormat="false" ht="15.75" hidden="false" customHeight="false" outlineLevel="0" collapsed="false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6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</row>
    <row r="963" customFormat="false" ht="15.75" hidden="false" customHeight="false" outlineLevel="0" collapsed="false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6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</row>
    <row r="964" customFormat="false" ht="15.75" hidden="false" customHeight="false" outlineLevel="0" collapsed="false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6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</row>
    <row r="965" customFormat="false" ht="15.75" hidden="false" customHeight="false" outlineLevel="0" collapsed="false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6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</row>
    <row r="966" customFormat="false" ht="15.75" hidden="false" customHeight="false" outlineLevel="0" collapsed="false">
      <c r="K966" s="46"/>
    </row>
    <row r="967" customFormat="false" ht="15.75" hidden="false" customHeight="false" outlineLevel="0" collapsed="false">
      <c r="K967" s="46"/>
    </row>
    <row r="968" customFormat="false" ht="15.75" hidden="false" customHeight="false" outlineLevel="0" collapsed="false">
      <c r="K968" s="46"/>
    </row>
    <row r="969" customFormat="false" ht="15.75" hidden="false" customHeight="false" outlineLevel="0" collapsed="false">
      <c r="K969" s="46"/>
    </row>
    <row r="970" customFormat="false" ht="15.75" hidden="false" customHeight="false" outlineLevel="0" collapsed="false">
      <c r="K970" s="46"/>
    </row>
    <row r="971" customFormat="false" ht="15.75" hidden="false" customHeight="false" outlineLevel="0" collapsed="false">
      <c r="K971" s="46"/>
    </row>
    <row r="972" customFormat="false" ht="15.75" hidden="false" customHeight="false" outlineLevel="0" collapsed="false">
      <c r="K972" s="46"/>
    </row>
    <row r="973" customFormat="false" ht="15.75" hidden="false" customHeight="false" outlineLevel="0" collapsed="false">
      <c r="K973" s="46"/>
    </row>
    <row r="974" customFormat="false" ht="15.75" hidden="false" customHeight="false" outlineLevel="0" collapsed="false">
      <c r="K974" s="46"/>
    </row>
    <row r="975" customFormat="false" ht="15.75" hidden="false" customHeight="false" outlineLevel="0" collapsed="false">
      <c r="K975" s="46"/>
    </row>
    <row r="976" customFormat="false" ht="15.75" hidden="false" customHeight="false" outlineLevel="0" collapsed="false">
      <c r="K976" s="46"/>
    </row>
    <row r="977" customFormat="false" ht="15.75" hidden="false" customHeight="false" outlineLevel="0" collapsed="false">
      <c r="K977" s="46"/>
    </row>
    <row r="978" customFormat="false" ht="15.75" hidden="false" customHeight="false" outlineLevel="0" collapsed="false">
      <c r="K978" s="46"/>
    </row>
    <row r="979" customFormat="false" ht="15.75" hidden="false" customHeight="false" outlineLevel="0" collapsed="false">
      <c r="K979" s="46"/>
    </row>
    <row r="980" customFormat="false" ht="15.75" hidden="false" customHeight="false" outlineLevel="0" collapsed="false">
      <c r="K980" s="46"/>
    </row>
    <row r="981" customFormat="false" ht="15.75" hidden="false" customHeight="false" outlineLevel="0" collapsed="false">
      <c r="K981" s="46"/>
    </row>
    <row r="982" customFormat="false" ht="15.75" hidden="false" customHeight="false" outlineLevel="0" collapsed="false">
      <c r="K982" s="46"/>
    </row>
    <row r="983" customFormat="false" ht="15.75" hidden="false" customHeight="false" outlineLevel="0" collapsed="false">
      <c r="K983" s="46"/>
    </row>
    <row r="984" customFormat="false" ht="15.75" hidden="false" customHeight="false" outlineLevel="0" collapsed="false">
      <c r="K984" s="46"/>
    </row>
    <row r="985" customFormat="false" ht="15.75" hidden="false" customHeight="false" outlineLevel="0" collapsed="false">
      <c r="K985" s="46"/>
    </row>
    <row r="986" customFormat="false" ht="15.75" hidden="false" customHeight="false" outlineLevel="0" collapsed="false">
      <c r="K986" s="46"/>
    </row>
    <row r="987" customFormat="false" ht="15.75" hidden="false" customHeight="false" outlineLevel="0" collapsed="false">
      <c r="K987" s="46"/>
    </row>
    <row r="988" customFormat="false" ht="15.75" hidden="false" customHeight="false" outlineLevel="0" collapsed="false">
      <c r="K988" s="46"/>
    </row>
    <row r="989" customFormat="false" ht="15.75" hidden="false" customHeight="false" outlineLevel="0" collapsed="false">
      <c r="K989" s="46"/>
    </row>
    <row r="990" customFormat="false" ht="15.75" hidden="false" customHeight="false" outlineLevel="0" collapsed="false">
      <c r="K990" s="46"/>
    </row>
    <row r="991" customFormat="false" ht="15.75" hidden="false" customHeight="false" outlineLevel="0" collapsed="false">
      <c r="K991" s="46"/>
    </row>
    <row r="992" customFormat="false" ht="15.75" hidden="false" customHeight="false" outlineLevel="0" collapsed="false">
      <c r="K992" s="46"/>
    </row>
    <row r="993" customFormat="false" ht="15.75" hidden="false" customHeight="false" outlineLevel="0" collapsed="false">
      <c r="K993" s="46"/>
    </row>
    <row r="994" customFormat="false" ht="15.75" hidden="false" customHeight="false" outlineLevel="0" collapsed="false">
      <c r="K994" s="46"/>
    </row>
    <row r="995" customFormat="false" ht="15.75" hidden="false" customHeight="false" outlineLevel="0" collapsed="false">
      <c r="K995" s="46"/>
    </row>
    <row r="996" customFormat="false" ht="15.75" hidden="false" customHeight="false" outlineLevel="0" collapsed="false">
      <c r="K996" s="46"/>
    </row>
    <row r="997" customFormat="false" ht="15.75" hidden="false" customHeight="false" outlineLevel="0" collapsed="false">
      <c r="K997" s="46"/>
    </row>
    <row r="998" customFormat="false" ht="15.75" hidden="false" customHeight="false" outlineLevel="0" collapsed="false">
      <c r="K998" s="46"/>
    </row>
    <row r="999" customFormat="false" ht="15.75" hidden="false" customHeight="false" outlineLevel="0" collapsed="false">
      <c r="K999" s="46"/>
    </row>
    <row r="1000" customFormat="false" ht="15.75" hidden="false" customHeight="false" outlineLevel="0" collapsed="false">
      <c r="K1000" s="46"/>
    </row>
    <row r="1001" customFormat="false" ht="15.75" hidden="false" customHeight="false" outlineLevel="0" collapsed="false">
      <c r="K1001" s="46"/>
    </row>
    <row r="1002" customFormat="false" ht="15.75" hidden="false" customHeight="false" outlineLevel="0" collapsed="false">
      <c r="K1002" s="46"/>
    </row>
  </sheetData>
  <dataValidations count="9">
    <dataValidation allowBlank="true" errorStyle="stop" operator="between" showDropDown="true" showErrorMessage="false" showInputMessage="false" sqref="F2:F78 N2:N78" type="none">
      <formula1>0</formula1>
      <formula2>0</formula2>
    </dataValidation>
    <dataValidation allowBlank="true" errorStyle="stop" operator="between" showDropDown="false" showErrorMessage="true" showInputMessage="false" sqref="C2:C78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D2:D78" type="list">
      <formula1>"Faktur,Backpro,Zuckerman,Facialart,Dejusticia,Happycinamon,Nulab,Ncarb,ECOS,IDK,BMS,--,Swapps,WWilson,Tabby,Smart Web Apps,Comfinagro,IMC,Geosig"</formula1>
      <formula2>0</formula2>
    </dataValidation>
    <dataValidation allowBlank="true" errorStyle="stop" operator="between" showDropDown="false" showErrorMessage="false" showInputMessage="false" sqref="H2:H78" type="list">
      <formula1>"Iván,Carlos,Gustavo,Diego,Andrés,JC,José,Héctor,Mateo,--,Blue,Carlos M"</formula1>
      <formula2>0</formula2>
    </dataValidation>
    <dataValidation allowBlank="true" errorStyle="stop" operator="between" showDropDown="false" showErrorMessage="true" showInputMessage="false" sqref="G2:G78" type="list">
      <formula1>"Alta,Normal,Urgente,Baja,--"</formula1>
      <formula2>0</formula2>
    </dataValidation>
    <dataValidation allowBlank="true" errorStyle="stop" operator="between" showDropDown="false" showErrorMessage="false" showInputMessage="false" sqref="I2:I78" type="list">
      <formula1>"Closed,Ready for testing ,Open,Under review,Partially Done,In progress,Approved,--,Needs more work,Deploy to production"</formula1>
      <formula2>0</formula2>
    </dataValidation>
    <dataValidation allowBlank="true" errorStyle="stop" operator="between" showDropDown="true" showErrorMessage="false" showInputMessage="false" sqref="A2:A41 J2:J78 B6 B17 B21 B32 B39:B40 A42:B42 A43:A47 B46 A48:B49 A50:A55 B54 A56:B56 A57:A62 B58:B61 A63:B66 A67:A73 B72 A74:B77 A78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E2:E78" type="list">
      <formula1>"Ajustes,Soporte,Mejoras,Corrección,Configuraciones,Revisión,--,Pagina Web,IT,Error,Blue,SOLICITUD ,PENDIENTE"</formula1>
      <formula2>0</formula2>
    </dataValidation>
    <dataValidation allowBlank="true" errorStyle="stop" operator="between" showDropDown="true" showErrorMessage="false" showInputMessage="false" sqref="K2:K78" type="custom">
      <formula1>AND(ISNUMBER(K2),(NOT(OR(NOT(ISERROR(DATEVALUE(K2))), AND(ISNUMBER(K2), LEFT(CELL("format", K2))="D")))))</formula1>
      <formula2>0</formula2>
    </dataValidation>
  </dataValidations>
  <hyperlinks>
    <hyperlink ref="M2" r:id="rId2" display="https://app.clickup.com/t/86b3t8dvg"/>
    <hyperlink ref="M3" r:id="rId3" display="https://app.clickup.com/t/86b3t8gqf"/>
    <hyperlink ref="M4" r:id="rId4" display="https://app.clickup.com/t/86b3tau9k"/>
    <hyperlink ref="M5" r:id="rId5" display="https://app.clickup.com/t/86b3tb1ud"/>
    <hyperlink ref="M6" r:id="rId6" display="https://app.clickup.com/t/86b3tbv0k"/>
    <hyperlink ref="M7" r:id="rId7" display="https://app.clickup.com/t/86b3tcxq2"/>
    <hyperlink ref="M8" r:id="rId8" display="https://app.clickup.com/t/86b3thee4"/>
    <hyperlink ref="M9" r:id="rId9" display="https://app.clickup.com/t/86b3trrjj"/>
    <hyperlink ref="M10" r:id="rId10" display="https://app.clickup.com/t/86b3tv5ex"/>
    <hyperlink ref="M11" r:id="rId11" display="https://app.clickup.com/t/86b3tx14g"/>
    <hyperlink ref="M12" r:id="rId12" display="https://app.clickup.com/t/86b3twku5"/>
    <hyperlink ref="M13" r:id="rId13" display="https://app.clickup.com/t/86b3u30at"/>
    <hyperlink ref="M14" r:id="rId14" display="https://app.clickup.com/t/86b3uau0y"/>
    <hyperlink ref="M15" r:id="rId15" display="https://app.clickup.com/t/86b3u58hk"/>
    <hyperlink ref="M16" r:id="rId16" display="https://app.clickup.com/t/86b3uea3c"/>
    <hyperlink ref="M17" r:id="rId17" display="https://app.clickup.com/t/86b3ufnrw"/>
    <hyperlink ref="M18" r:id="rId18" display="https://app.clickup.com/t/86b3uyt9k"/>
    <hyperlink ref="M19" r:id="rId19" display="https://app.clickup.com/t/86b3uyt2v"/>
    <hyperlink ref="M20" r:id="rId20" display="https://app.clickup.com/t/86b3v2z2m"/>
    <hyperlink ref="M21" r:id="rId21" display="https://app.clickup.com/t/86b3vhmz7"/>
    <hyperlink ref="M22" r:id="rId22" display="https://app.clickup.com/t/86b3vg52e"/>
    <hyperlink ref="M23" r:id="rId23" display="https://app.clickup.com/t/86b3vpyvu"/>
    <hyperlink ref="M24" r:id="rId24" display="https://app.clickup.com/t/86b3vn8mw"/>
    <hyperlink ref="M25" r:id="rId25" display="https://app.clickup.com/t/86b3vk7hz"/>
    <hyperlink ref="M26" r:id="rId26" display="https://app.clickup.com/t/86b3vm774"/>
    <hyperlink ref="M27" r:id="rId27" display="https://app.clickup.com/t/86b3vm33e"/>
    <hyperlink ref="M28" r:id="rId28" display="https://app.clickup.com/t/86b3wbtjv"/>
    <hyperlink ref="M29" r:id="rId29" display="https://app.clickup.com/t/86b3wpkdj"/>
    <hyperlink ref="M30" r:id="rId30" display="https://app.clickup.com/t/86b3wr9rg"/>
    <hyperlink ref="M31" r:id="rId31" display="https://app.clickup.com/t/86b3x5uzq"/>
    <hyperlink ref="M32" r:id="rId32" display="https://app.clickup.com/t/86b3x9jmx"/>
    <hyperlink ref="M33" r:id="rId33" display="https://app.clickup.com/t/86b3xa3bm"/>
    <hyperlink ref="M34" r:id="rId34" display="https://app.clickup.com/t/86b3xbe7u"/>
    <hyperlink ref="M35" r:id="rId35" display="https://app.clickup.com/t/86b3xdnyf"/>
    <hyperlink ref="M36" r:id="rId36" display="https://app.clickup.com/t/86b3xdu8g"/>
    <hyperlink ref="M37" r:id="rId37" display="https://app.clickup.com/t/86b3xkmtv"/>
    <hyperlink ref="M38" r:id="rId38" display="https://app.clickup.com/t/86b3y9yhk"/>
    <hyperlink ref="M39" r:id="rId39" display="https://app.clickup.com/t/86b3yuq9r"/>
    <hyperlink ref="M40" r:id="rId40" display="https://app.clickup.com/t/86b3yujtc"/>
    <hyperlink ref="M41" r:id="rId41" display="https://app.clickup.com/t/86b3yv6t1"/>
    <hyperlink ref="M42" r:id="rId42" display="https://app.clickup.com/t/86b3z83gh"/>
    <hyperlink ref="M43" r:id="rId43" display="https://app.clickup.com/t/86b3zcauf"/>
    <hyperlink ref="M44" r:id="rId44" display="https://app.clickup.com/t/86b3zg1ag"/>
    <hyperlink ref="M45" r:id="rId45" display="https://app.clickup.com/t/86b3zftgn"/>
    <hyperlink ref="M46" r:id="rId46" display="https://app.clickup.com/t/86b3zghuq"/>
    <hyperlink ref="M47" r:id="rId47" display="https://app.clickup.com/t/86b3zez8p"/>
    <hyperlink ref="M48" r:id="rId48" display="https://app.clickup.com/t/86b3zv9ev"/>
    <hyperlink ref="M49" r:id="rId49" display="https://app.clickup.com/t/86b401bz5"/>
    <hyperlink ref="M50" r:id="rId50" display="https://app.clickup.com/t/86b3zy737"/>
    <hyperlink ref="M51" r:id="rId51" display="https://app.clickup.com/t/86b40109w"/>
    <hyperlink ref="M52" r:id="rId52" display="https://app.clickup.com/t/86b3zyha1"/>
    <hyperlink ref="M53" r:id="rId53" display="https://app.clickup.com/t/86b3zvwhy"/>
    <hyperlink ref="M54" r:id="rId54" display="https://app.clickup.com/t/86b40d55q"/>
    <hyperlink ref="M55" r:id="rId55" display="https://app.clickup.com/t/86b40hn2q"/>
    <hyperlink ref="M56" r:id="rId56" display="https://app.clickup.com/t/86b40hnfp"/>
    <hyperlink ref="M57" r:id="rId57" display="https://app.clickup.com/t/86b40xdze"/>
    <hyperlink ref="M58" r:id="rId58" display="https://app.clickup.com/t/86b40zdcp"/>
    <hyperlink ref="M59" r:id="rId59" display="https://app.clickup.com/t/86b412a97"/>
    <hyperlink ref="M60" r:id="rId60" display="https://app.clickup.com/t/86b412e69"/>
    <hyperlink ref="M61" r:id="rId61" display="https://app.clickup.com/t/86b41pwu4"/>
    <hyperlink ref="M62" r:id="rId62" display="https://app.clickup.com/t/86b41r9a9"/>
    <hyperlink ref="M63" r:id="rId63" display="https://app.clickup.com/t/86b427jea"/>
    <hyperlink ref="M64" r:id="rId64" display="https://app.clickup.com/t/86b4272xe"/>
    <hyperlink ref="M65" r:id="rId65" display="https://app.clickup.com/t/86b42731p"/>
    <hyperlink ref="M66" r:id="rId66" display="https://app.clickup.com/t/86b42e920"/>
    <hyperlink ref="M67" r:id="rId67" display="https://app.clickup.com/t/86b428pkt"/>
    <hyperlink ref="M68" r:id="rId68" display="https://app.clickup.com/t/86b428wve"/>
    <hyperlink ref="M69" r:id="rId69" display="https://app.clickup.com/t/86b42gnr0"/>
    <hyperlink ref="M70" r:id="rId70" display="https://app.clickup.com/t/86b42rf5q"/>
    <hyperlink ref="F71" r:id="rId71" display="Error en el home de geosigingenieria.com"/>
    <hyperlink ref="M71" r:id="rId72" display="https://app.clickup.com/t/454056/SLA-1241"/>
    <hyperlink ref="M72" r:id="rId73" display="https://app.clickup.com/t/86b42xdhe"/>
    <hyperlink ref="M73" r:id="rId74" display="https://app.clickup.com/t/86b43aj8j"/>
    <hyperlink ref="M74" r:id="rId75" display="https://app.clickup.com/t/86b43677q"/>
    <hyperlink ref="M75" r:id="rId76" display="https://app.clickup.com/t/86b4377xq"/>
    <hyperlink ref="M76" r:id="rId77" display="https://app.clickup.com/t/86b43779f"/>
    <hyperlink ref="M77" r:id="rId78" display="https://app.clickup.com/t/86b43nkg4"/>
    <hyperlink ref="M78" r:id="rId79" display="https://app.clickup.com/t/86b43n6df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80"/>
  <tableParts>
    <tablePart r:id="rId8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5" min="5" style="1" width="17.63"/>
    <col collapsed="false" customWidth="true" hidden="false" outlineLevel="0" max="6" min="6" style="1" width="28.13"/>
    <col collapsed="false" customWidth="true" hidden="false" outlineLevel="0" max="7" min="7" style="1" width="30"/>
    <col collapsed="false" customWidth="true" hidden="false" outlineLevel="0" max="8" min="8" style="1" width="25.25"/>
  </cols>
  <sheetData>
    <row r="1" customFormat="false" ht="15.75" hidden="false" customHeight="false" outlineLevel="0" collapsed="false">
      <c r="A1" s="65" t="s">
        <v>381</v>
      </c>
      <c r="B1" s="65" t="s">
        <v>382</v>
      </c>
      <c r="C1" s="65" t="s">
        <v>383</v>
      </c>
      <c r="D1" s="65" t="s">
        <v>384</v>
      </c>
      <c r="E1" s="65" t="s">
        <v>385</v>
      </c>
      <c r="F1" s="65" t="s">
        <v>386</v>
      </c>
      <c r="G1" s="65" t="s">
        <v>387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customFormat="false" ht="31.3" hidden="false" customHeight="false" outlineLevel="0" collapsed="false">
      <c r="A2" s="67" t="s">
        <v>388</v>
      </c>
      <c r="B2" s="67" t="n">
        <v>1</v>
      </c>
      <c r="C2" s="68" t="n">
        <v>2.83125</v>
      </c>
      <c r="D2" s="67" t="n">
        <v>25</v>
      </c>
      <c r="E2" s="69" t="n">
        <v>0.113252314814815</v>
      </c>
      <c r="F2" s="67" t="s">
        <v>389</v>
      </c>
      <c r="G2" s="70" t="s">
        <v>390</v>
      </c>
      <c r="H2" s="71"/>
      <c r="I2" s="71"/>
      <c r="J2" s="72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customFormat="false" ht="15.75" hidden="false" customHeight="false" outlineLevel="0" collapsed="false">
      <c r="A3" s="67" t="s">
        <v>388</v>
      </c>
      <c r="B3" s="67" t="n">
        <v>2</v>
      </c>
      <c r="C3" s="73" t="n">
        <v>4.13680555555556</v>
      </c>
      <c r="D3" s="67" t="n">
        <v>35</v>
      </c>
      <c r="E3" s="69" t="n">
        <v>0.118194444444444</v>
      </c>
      <c r="F3" s="67" t="s">
        <v>391</v>
      </c>
      <c r="G3" s="67" t="s">
        <v>392</v>
      </c>
      <c r="H3" s="71"/>
      <c r="I3" s="71"/>
      <c r="J3" s="72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customFormat="false" ht="31.3" hidden="false" customHeight="false" outlineLevel="0" collapsed="false">
      <c r="A4" s="67" t="s">
        <v>393</v>
      </c>
      <c r="B4" s="67" t="n">
        <v>3</v>
      </c>
      <c r="C4" s="73" t="n">
        <v>4.00625</v>
      </c>
      <c r="D4" s="67" t="n">
        <v>31</v>
      </c>
      <c r="E4" s="69" t="n">
        <v>0.129236111111111</v>
      </c>
      <c r="F4" s="67" t="s">
        <v>394</v>
      </c>
      <c r="G4" s="70" t="s">
        <v>395</v>
      </c>
      <c r="H4" s="71"/>
      <c r="I4" s="71"/>
      <c r="J4" s="72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 customFormat="false" ht="15.75" hidden="false" customHeight="false" outlineLevel="0" collapsed="false">
      <c r="A5" s="67" t="s">
        <v>393</v>
      </c>
      <c r="B5" s="67" t="n">
        <v>4</v>
      </c>
      <c r="C5" s="73" t="n">
        <v>2.64027777777778</v>
      </c>
      <c r="D5" s="67" t="n">
        <v>19</v>
      </c>
      <c r="E5" s="69" t="n">
        <v>0.138958333333333</v>
      </c>
      <c r="F5" s="67" t="s">
        <v>396</v>
      </c>
      <c r="G5" s="67" t="s">
        <v>397</v>
      </c>
      <c r="H5" s="71"/>
      <c r="I5" s="71"/>
      <c r="J5" s="72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customFormat="false" ht="31.3" hidden="false" customHeight="false" outlineLevel="0" collapsed="false">
      <c r="A6" s="67" t="s">
        <v>398</v>
      </c>
      <c r="B6" s="67" t="n">
        <v>5</v>
      </c>
      <c r="C6" s="73" t="n">
        <v>3.95416666666667</v>
      </c>
      <c r="D6" s="67" t="n">
        <v>27</v>
      </c>
      <c r="E6" s="69" t="n">
        <v>0.146446759259259</v>
      </c>
      <c r="F6" s="67" t="s">
        <v>399</v>
      </c>
      <c r="G6" s="70" t="s">
        <v>395</v>
      </c>
      <c r="H6" s="71"/>
      <c r="I6" s="71"/>
      <c r="J6" s="72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customFormat="false" ht="31.3" hidden="false" customHeight="false" outlineLevel="0" collapsed="false">
      <c r="A7" s="67" t="s">
        <v>398</v>
      </c>
      <c r="B7" s="67" t="n">
        <v>6</v>
      </c>
      <c r="C7" s="73" t="n">
        <v>2.79861111111111</v>
      </c>
      <c r="D7" s="67" t="n">
        <v>24</v>
      </c>
      <c r="E7" s="69" t="n">
        <v>0.116608796296296</v>
      </c>
      <c r="F7" s="67" t="s">
        <v>400</v>
      </c>
      <c r="G7" s="70" t="s">
        <v>401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customFormat="false" ht="31.3" hidden="false" customHeight="false" outlineLevel="0" collapsed="false">
      <c r="A8" s="67" t="s">
        <v>402</v>
      </c>
      <c r="B8" s="67" t="n">
        <v>7</v>
      </c>
      <c r="C8" s="73" t="n">
        <v>2.20439814814815</v>
      </c>
      <c r="D8" s="67" t="n">
        <v>24</v>
      </c>
      <c r="E8" s="69" t="n">
        <v>0.0918518518518519</v>
      </c>
      <c r="F8" s="67" t="s">
        <v>403</v>
      </c>
      <c r="G8" s="70" t="s">
        <v>404</v>
      </c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 customFormat="false" ht="46.25" hidden="false" customHeight="false" outlineLevel="0" collapsed="false">
      <c r="A9" s="67" t="s">
        <v>402</v>
      </c>
      <c r="B9" s="67" t="n">
        <v>8</v>
      </c>
      <c r="C9" s="73" t="n">
        <v>1.6430787037037</v>
      </c>
      <c r="D9" s="67" t="n">
        <v>19</v>
      </c>
      <c r="E9" s="69" t="n">
        <v>0.0864814814814815</v>
      </c>
      <c r="F9" s="67" t="s">
        <v>405</v>
      </c>
      <c r="G9" s="70" t="s">
        <v>406</v>
      </c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customFormat="false" ht="31.3" hidden="false" customHeight="false" outlineLevel="0" collapsed="false">
      <c r="A10" s="67" t="s">
        <v>407</v>
      </c>
      <c r="B10" s="67" t="n">
        <v>9</v>
      </c>
      <c r="C10" s="73" t="n">
        <v>1.90833333333333</v>
      </c>
      <c r="D10" s="67" t="n">
        <v>35</v>
      </c>
      <c r="E10" s="69" t="n">
        <v>0.054525462962963</v>
      </c>
      <c r="F10" s="67" t="s">
        <v>408</v>
      </c>
      <c r="G10" s="70" t="s">
        <v>409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 customFormat="false" ht="15.75" hidden="false" customHeight="false" outlineLevel="0" collapsed="false">
      <c r="A11" s="67" t="s">
        <v>407</v>
      </c>
      <c r="B11" s="67" t="n">
        <v>10</v>
      </c>
      <c r="C11" s="68" t="n">
        <v>1.68888888888889</v>
      </c>
      <c r="D11" s="67" t="n">
        <v>30</v>
      </c>
      <c r="E11" s="74" t="n">
        <v>0.0562962962962963</v>
      </c>
      <c r="F11" s="67" t="s">
        <v>410</v>
      </c>
      <c r="G11" s="67" t="s">
        <v>411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customFormat="false" ht="31.3" hidden="false" customHeight="false" outlineLevel="0" collapsed="false">
      <c r="A12" s="67" t="s">
        <v>412</v>
      </c>
      <c r="B12" s="67" t="n">
        <v>11</v>
      </c>
      <c r="C12" s="68" t="n">
        <v>1.77152777777778</v>
      </c>
      <c r="D12" s="67" t="n">
        <v>25</v>
      </c>
      <c r="E12" s="74" t="n">
        <v>0.0708564814814815</v>
      </c>
      <c r="F12" s="67" t="s">
        <v>413</v>
      </c>
      <c r="G12" s="70" t="s">
        <v>414</v>
      </c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</row>
    <row r="13" customFormat="false" ht="31.3" hidden="false" customHeight="false" outlineLevel="0" collapsed="false">
      <c r="A13" s="67" t="s">
        <v>415</v>
      </c>
      <c r="B13" s="67" t="n">
        <v>12</v>
      </c>
      <c r="C13" s="68" t="n">
        <v>1.44097222222222</v>
      </c>
      <c r="D13" s="67" t="n">
        <v>24</v>
      </c>
      <c r="E13" s="68" t="n">
        <f aca="false">C13/D13</f>
        <v>0.0600405092592593</v>
      </c>
      <c r="F13" s="67" t="s">
        <v>416</v>
      </c>
      <c r="G13" s="70" t="s">
        <v>417</v>
      </c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customFormat="false" ht="31.3" hidden="false" customHeight="false" outlineLevel="0" collapsed="false">
      <c r="A14" s="67" t="s">
        <v>418</v>
      </c>
      <c r="B14" s="67" t="n">
        <v>13</v>
      </c>
      <c r="C14" s="68" t="n">
        <v>2.55347222222222</v>
      </c>
      <c r="D14" s="67" t="n">
        <v>29</v>
      </c>
      <c r="E14" s="68" t="n">
        <f aca="false">C14/D14</f>
        <v>0.0880507662835249</v>
      </c>
      <c r="F14" s="67" t="s">
        <v>419</v>
      </c>
      <c r="G14" s="70" t="s">
        <v>420</v>
      </c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 customFormat="false" ht="31.3" hidden="false" customHeight="false" outlineLevel="0" collapsed="false">
      <c r="A15" s="67" t="s">
        <v>421</v>
      </c>
      <c r="B15" s="67" t="n">
        <v>14</v>
      </c>
      <c r="C15" s="68" t="n">
        <v>2.13333333333333</v>
      </c>
      <c r="D15" s="67" t="n">
        <v>24</v>
      </c>
      <c r="E15" s="68" t="n">
        <f aca="false">C15/D15</f>
        <v>0.0888888888888889</v>
      </c>
      <c r="F15" s="67" t="s">
        <v>422</v>
      </c>
      <c r="G15" s="70" t="s">
        <v>423</v>
      </c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 customFormat="false" ht="15.75" hidden="false" customHeight="false" outlineLevel="0" collapsed="false">
      <c r="A16" s="67" t="s">
        <v>424</v>
      </c>
      <c r="B16" s="67" t="n">
        <v>15</v>
      </c>
      <c r="C16" s="68" t="n">
        <v>2.93055555555556</v>
      </c>
      <c r="D16" s="67" t="n">
        <v>24</v>
      </c>
      <c r="E16" s="68" t="n">
        <f aca="false">C16/D16</f>
        <v>0.122106481481481</v>
      </c>
      <c r="F16" s="67" t="s">
        <v>425</v>
      </c>
      <c r="G16" s="67" t="s">
        <v>426</v>
      </c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 customFormat="false" ht="31.3" hidden="false" customHeight="false" outlineLevel="0" collapsed="false">
      <c r="A17" s="67" t="s">
        <v>427</v>
      </c>
      <c r="B17" s="67" t="n">
        <v>16</v>
      </c>
      <c r="C17" s="68" t="n">
        <v>4.74583333333333</v>
      </c>
      <c r="D17" s="67" t="n">
        <v>33</v>
      </c>
      <c r="E17" s="68" t="n">
        <f aca="false">C17/D17</f>
        <v>0.143813131313131</v>
      </c>
      <c r="F17" s="67" t="s">
        <v>428</v>
      </c>
      <c r="G17" s="70" t="s">
        <v>429</v>
      </c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 customFormat="false" ht="31.3" hidden="false" customHeight="false" outlineLevel="0" collapsed="false">
      <c r="A18" s="67" t="s">
        <v>427</v>
      </c>
      <c r="B18" s="67" t="n">
        <v>17</v>
      </c>
      <c r="C18" s="68" t="n">
        <v>2.30486111111111</v>
      </c>
      <c r="D18" s="67" t="n">
        <v>27</v>
      </c>
      <c r="E18" s="68" t="n">
        <f aca="false">C18/D18</f>
        <v>0.0853652263374486</v>
      </c>
      <c r="F18" s="67" t="s">
        <v>430</v>
      </c>
      <c r="G18" s="70" t="s">
        <v>431</v>
      </c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 customFormat="false" ht="31.3" hidden="false" customHeight="false" outlineLevel="0" collapsed="false">
      <c r="A19" s="67" t="s">
        <v>432</v>
      </c>
      <c r="B19" s="67" t="n">
        <v>18</v>
      </c>
      <c r="C19" s="68" t="n">
        <v>1.26458333333333</v>
      </c>
      <c r="D19" s="67" t="n">
        <v>15</v>
      </c>
      <c r="E19" s="68" t="n">
        <f aca="false">C19/D19</f>
        <v>0.0843055555555556</v>
      </c>
      <c r="F19" s="67" t="s">
        <v>433</v>
      </c>
      <c r="G19" s="70" t="s">
        <v>434</v>
      </c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 customFormat="false" ht="31.3" hidden="false" customHeight="false" outlineLevel="0" collapsed="false">
      <c r="A20" s="67" t="s">
        <v>432</v>
      </c>
      <c r="B20" s="67" t="n">
        <v>19</v>
      </c>
      <c r="C20" s="68" t="n">
        <v>2.19236111111111</v>
      </c>
      <c r="D20" s="67" t="n">
        <v>15</v>
      </c>
      <c r="E20" s="68" t="n">
        <f aca="false">C20/D20</f>
        <v>0.146157407407407</v>
      </c>
      <c r="F20" s="67" t="s">
        <v>435</v>
      </c>
      <c r="G20" s="70" t="s">
        <v>436</v>
      </c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 customFormat="false" ht="31.3" hidden="false" customHeight="false" outlineLevel="0" collapsed="false">
      <c r="A21" s="67" t="s">
        <v>437</v>
      </c>
      <c r="B21" s="67" t="n">
        <v>20</v>
      </c>
      <c r="C21" s="68" t="n">
        <v>1.2625</v>
      </c>
      <c r="D21" s="67" t="n">
        <v>18</v>
      </c>
      <c r="E21" s="68" t="n">
        <f aca="false">C21/D21</f>
        <v>0.0701388888888889</v>
      </c>
      <c r="F21" s="67" t="s">
        <v>438</v>
      </c>
      <c r="G21" s="70" t="s">
        <v>439</v>
      </c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customFormat="false" ht="15.75" hidden="false" customHeight="false" outlineLevel="0" collapsed="false">
      <c r="A22" s="67" t="s">
        <v>440</v>
      </c>
      <c r="B22" s="67" t="n">
        <v>21</v>
      </c>
      <c r="C22" s="68" t="n">
        <v>1.42986111111111</v>
      </c>
      <c r="D22" s="67" t="n">
        <v>17</v>
      </c>
      <c r="E22" s="68" t="n">
        <f aca="false">C22/D22</f>
        <v>0.084109477124183</v>
      </c>
      <c r="F22" s="67" t="s">
        <v>441</v>
      </c>
      <c r="G22" s="67" t="s">
        <v>426</v>
      </c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 customFormat="false" ht="31.3" hidden="false" customHeight="false" outlineLevel="0" collapsed="false">
      <c r="A23" s="67" t="s">
        <v>442</v>
      </c>
      <c r="B23" s="67" t="n">
        <v>22</v>
      </c>
      <c r="C23" s="68" t="n">
        <v>1.15416666666667</v>
      </c>
      <c r="D23" s="67" t="n">
        <v>14</v>
      </c>
      <c r="E23" s="68" t="n">
        <f aca="false">C23/D23</f>
        <v>0.0824404761904762</v>
      </c>
      <c r="F23" s="67" t="s">
        <v>443</v>
      </c>
      <c r="G23" s="70" t="s">
        <v>444</v>
      </c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 customFormat="false" ht="15.75" hidden="false" customHeight="false" outlineLevel="0" collapsed="false">
      <c r="A24" s="67" t="s">
        <v>445</v>
      </c>
      <c r="B24" s="67" t="n">
        <v>23</v>
      </c>
      <c r="C24" s="67"/>
      <c r="D24" s="67" t="n">
        <v>17</v>
      </c>
      <c r="E24" s="67"/>
      <c r="F24" s="67" t="s">
        <v>446</v>
      </c>
      <c r="G24" s="67" t="s">
        <v>447</v>
      </c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 customFormat="false" ht="15.75" hidden="false" customHeight="false" outlineLevel="0" collapsed="false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customFormat="false" ht="15.75" hidden="false" customHeight="false" outlineLevel="0" collapsed="false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customFormat="false" ht="15.75" hidden="false" customHeight="false" outlineLevel="0" collapsed="false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 customFormat="false" ht="15.75" hidden="false" customHeight="false" outlineLevel="0" collapsed="false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 customFormat="false" ht="15.75" hidden="false" customHeight="false" outlineLevel="0" collapsed="false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 customFormat="false" ht="15.75" hidden="false" customHeight="false" outlineLevel="0" collapsed="false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customFormat="false" ht="15.75" hidden="false" customHeight="false" outlineLevel="0" collapsed="false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customFormat="false" ht="15.75" hidden="false" customHeight="false" outlineLevel="0" collapsed="false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customFormat="false" ht="15.75" hidden="false" customHeight="false" outlineLevel="0" collapsed="false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customFormat="false" ht="15.75" hidden="false" customHeight="false" outlineLevel="0" collapsed="false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customFormat="false" ht="15.7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  <row r="36" customFormat="false" ht="15.7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 customFormat="false" ht="15.7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 customFormat="false" ht="15.7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 customFormat="false" ht="15.7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</row>
    <row r="40" customFormat="false" ht="15.7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 customFormat="false" ht="15.7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</row>
    <row r="42" customFormat="false" ht="15.7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</row>
    <row r="43" customFormat="false" ht="15.7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</row>
    <row r="44" customFormat="false" ht="15.7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 customFormat="false" ht="15.7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</row>
    <row r="46" customFormat="false" ht="15.7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</row>
    <row r="47" customFormat="false" ht="15.7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</row>
    <row r="48" customFormat="false" ht="15.7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</row>
    <row r="49" customFormat="false" ht="15.7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</row>
    <row r="50" customFormat="false" ht="15.7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 customFormat="false" ht="15.7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customFormat="false" ht="15.7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 customFormat="false" ht="15.7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 customFormat="false" ht="15.7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customFormat="false" ht="15.7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 customFormat="false" ht="15.7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customFormat="false" ht="15.7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 customFormat="false" ht="15.7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</row>
    <row r="59" customFormat="false" ht="15.7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</row>
    <row r="60" customFormat="false" ht="15.7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</row>
    <row r="61" customFormat="false" ht="15.7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</row>
    <row r="62" customFormat="false" ht="15.7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customFormat="false" ht="15.7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</row>
    <row r="64" customFormat="false" ht="15.7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customFormat="false" ht="15.7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customFormat="false" ht="15.7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 customFormat="false" ht="15.7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 customFormat="false" ht="15.7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 customFormat="false" ht="15.7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 customFormat="false" ht="15.7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customFormat="false" ht="15.7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customFormat="false" ht="15.7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 customFormat="false" ht="15.7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 customFormat="false" ht="15.7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 customFormat="false" ht="15.7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 customFormat="false" ht="15.7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customFormat="false" ht="15.7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customFormat="false" ht="15.7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customFormat="false" ht="15.7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customFormat="false" ht="15.7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 customFormat="false" ht="15.7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customFormat="false" ht="15.7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customFormat="false" ht="15.7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customFormat="false" ht="15.7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 customFormat="false" ht="15.7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 customFormat="false" ht="15.7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 customFormat="false" ht="15.7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 customFormat="false" ht="15.7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 customFormat="false" ht="15.7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 customFormat="false" ht="15.7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customFormat="false" ht="15.7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customFormat="false" ht="15.7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customFormat="false" ht="15.7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customFormat="false" ht="15.7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customFormat="false" ht="15.7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customFormat="false" ht="15.7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customFormat="false" ht="15.7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customFormat="false" ht="15.7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customFormat="false" ht="15.7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customFormat="false" ht="15.7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customFormat="false" ht="15.7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customFormat="false" ht="15.7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customFormat="false" ht="15.7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customFormat="false" ht="15.7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customFormat="false" ht="15.7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customFormat="false" ht="15.7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customFormat="false" ht="15.7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customFormat="false" ht="15.7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customFormat="false" ht="15.7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customFormat="false" ht="15.7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customFormat="false" ht="15.7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customFormat="false" ht="15.7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customFormat="false" ht="15.7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customFormat="false" ht="15.7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 customFormat="false" ht="15.7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 customFormat="false" ht="15.7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 customFormat="false" ht="15.7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 customFormat="false" ht="15.7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 customFormat="false" ht="15.7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 customFormat="false" ht="15.7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 customFormat="false" ht="15.7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 customFormat="false" ht="15.7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 customFormat="false" ht="15.7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 customFormat="false" ht="15.7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 customFormat="false" ht="15.7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 customFormat="false" ht="15.7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 customFormat="false" ht="15.7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 customFormat="false" ht="15.7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 customFormat="false" ht="15.7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 customFormat="false" ht="15.7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 customFormat="false" ht="15.7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customFormat="false" ht="15.7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 customFormat="false" ht="15.7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customFormat="false" ht="15.7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customFormat="false" ht="15.7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 customFormat="false" ht="15.7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 customFormat="false" ht="15.7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customFormat="false" ht="15.7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customFormat="false" ht="15.7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customFormat="false" ht="15.75" hidden="false" customHeight="false" outlineLevel="0" collapsed="false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customFormat="false" ht="15.75" hidden="false" customHeight="false" outlineLevel="0" collapsed="false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customFormat="false" ht="15.75" hidden="false" customHeight="false" outlineLevel="0" collapsed="false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customFormat="false" ht="15.75" hidden="false" customHeight="false" outlineLevel="0" collapsed="false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 customFormat="false" ht="15.75" hidden="false" customHeight="false" outlineLevel="0" collapsed="false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 customFormat="false" ht="15.75" hidden="false" customHeight="false" outlineLevel="0" collapsed="false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 customFormat="false" ht="15.75" hidden="false" customHeight="false" outlineLevel="0" collapsed="false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 customFormat="false" ht="15.75" hidden="false" customHeight="false" outlineLevel="0" collapsed="false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 customFormat="false" ht="15.75" hidden="false" customHeight="false" outlineLevel="0" collapsed="false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 customFormat="false" ht="15.75" hidden="false" customHeight="false" outlineLevel="0" collapsed="false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 customFormat="false" ht="15.75" hidden="false" customHeight="false" outlineLevel="0" collapsed="false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 customFormat="false" ht="15.75" hidden="false" customHeight="false" outlineLevel="0" collapsed="false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 customFormat="false" ht="15.75" hidden="false" customHeight="false" outlineLevel="0" collapsed="false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 customFormat="false" ht="15.75" hidden="false" customHeight="false" outlineLevel="0" collapsed="false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 customFormat="false" ht="15.75" hidden="false" customHeight="false" outlineLevel="0" collapsed="false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 customFormat="false" ht="15.75" hidden="false" customHeight="false" outlineLevel="0" collapsed="false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 customFormat="false" ht="15.75" hidden="false" customHeight="false" outlineLevel="0" collapsed="false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 customFormat="false" ht="15.75" hidden="false" customHeight="false" outlineLevel="0" collapsed="false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 customFormat="false" ht="15.75" hidden="false" customHeight="false" outlineLevel="0" collapsed="false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 customFormat="false" ht="15.75" hidden="false" customHeight="false" outlineLevel="0" collapsed="false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 customFormat="false" ht="15.75" hidden="false" customHeight="false" outlineLevel="0" collapsed="false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 customFormat="false" ht="15.75" hidden="false" customHeight="false" outlineLevel="0" collapsed="false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 customFormat="false" ht="15.75" hidden="false" customHeight="false" outlineLevel="0" collapsed="false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 customFormat="false" ht="15.75" hidden="false" customHeight="false" outlineLevel="0" collapsed="false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customFormat="false" ht="15.75" hidden="false" customHeight="false" outlineLevel="0" collapsed="false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customFormat="false" ht="15.75" hidden="false" customHeight="false" outlineLevel="0" collapsed="false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 customFormat="false" ht="15.75" hidden="false" customHeight="false" outlineLevel="0" collapsed="false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 customFormat="false" ht="15.75" hidden="false" customHeight="false" outlineLevel="0" collapsed="false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 customFormat="false" ht="15.75" hidden="false" customHeight="false" outlineLevel="0" collapsed="false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customFormat="false" ht="15.75" hidden="false" customHeight="false" outlineLevel="0" collapsed="false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 customFormat="false" ht="15.75" hidden="false" customHeight="false" outlineLevel="0" collapsed="false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 customFormat="false" ht="15.75" hidden="false" customHeight="false" outlineLevel="0" collapsed="false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 customFormat="false" ht="15.75" hidden="false" customHeight="false" outlineLevel="0" collapsed="false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 customFormat="false" ht="15.75" hidden="false" customHeight="false" outlineLevel="0" collapsed="false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 customFormat="false" ht="15.75" hidden="false" customHeight="false" outlineLevel="0" collapsed="false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customFormat="false" ht="15.75" hidden="false" customHeight="false" outlineLevel="0" collapsed="false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customFormat="false" ht="15.75" hidden="false" customHeight="false" outlineLevel="0" collapsed="false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 customFormat="false" ht="15.75" hidden="false" customHeight="false" outlineLevel="0" collapsed="false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 customFormat="false" ht="15.75" hidden="false" customHeight="false" outlineLevel="0" collapsed="false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 customFormat="false" ht="15.75" hidden="false" customHeight="false" outlineLevel="0" collapsed="false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 customFormat="false" ht="15.75" hidden="false" customHeight="false" outlineLevel="0" collapsed="false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 customFormat="false" ht="15.75" hidden="false" customHeight="false" outlineLevel="0" collapsed="false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 customFormat="false" ht="15.75" hidden="false" customHeight="false" outlineLevel="0" collapsed="false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 customFormat="false" ht="15.75" hidden="false" customHeight="false" outlineLevel="0" collapsed="false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 customFormat="false" ht="15.75" hidden="false" customHeight="false" outlineLevel="0" collapsed="false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 customFormat="false" ht="15.75" hidden="false" customHeight="false" outlineLevel="0" collapsed="false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 customFormat="false" ht="15.75" hidden="false" customHeight="false" outlineLevel="0" collapsed="false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 customFormat="false" ht="15.75" hidden="false" customHeight="false" outlineLevel="0" collapsed="false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 customFormat="false" ht="15.75" hidden="false" customHeight="false" outlineLevel="0" collapsed="false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 customFormat="false" ht="15.75" hidden="false" customHeight="false" outlineLevel="0" collapsed="false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 customFormat="false" ht="15.75" hidden="false" customHeight="false" outlineLevel="0" collapsed="false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 customFormat="false" ht="15.75" hidden="false" customHeight="false" outlineLevel="0" collapsed="false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customFormat="false" ht="15.75" hidden="false" customHeight="false" outlineLevel="0" collapsed="false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 customFormat="false" ht="15.75" hidden="false" customHeight="false" outlineLevel="0" collapsed="false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 customFormat="false" ht="15.75" hidden="false" customHeight="false" outlineLevel="0" collapsed="false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 customFormat="false" ht="15.75" hidden="false" customHeight="false" outlineLevel="0" collapsed="false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 customFormat="false" ht="15.75" hidden="false" customHeight="false" outlineLevel="0" collapsed="false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 customFormat="false" ht="15.75" hidden="false" customHeight="false" outlineLevel="0" collapsed="false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 customFormat="false" ht="15.75" hidden="false" customHeight="false" outlineLevel="0" collapsed="false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 customFormat="false" ht="15.75" hidden="false" customHeight="false" outlineLevel="0" collapsed="false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 customFormat="false" ht="15.75" hidden="false" customHeight="false" outlineLevel="0" collapsed="false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 customFormat="false" ht="15.75" hidden="false" customHeight="false" outlineLevel="0" collapsed="false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 customFormat="false" ht="15.75" hidden="false" customHeight="false" outlineLevel="0" collapsed="false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 customFormat="false" ht="15.75" hidden="false" customHeight="false" outlineLevel="0" collapsed="false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 customFormat="false" ht="15.75" hidden="false" customHeight="false" outlineLevel="0" collapsed="false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 customFormat="false" ht="15.75" hidden="false" customHeight="false" outlineLevel="0" collapsed="false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 customFormat="false" ht="15.75" hidden="false" customHeight="false" outlineLevel="0" collapsed="false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 customFormat="false" ht="15.75" hidden="false" customHeight="false" outlineLevel="0" collapsed="false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 customFormat="false" ht="15.75" hidden="false" customHeight="false" outlineLevel="0" collapsed="false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 customFormat="false" ht="15.75" hidden="false" customHeight="false" outlineLevel="0" collapsed="false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customFormat="false" ht="15.75" hidden="false" customHeight="false" outlineLevel="0" collapsed="false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customFormat="false" ht="15.75" hidden="false" customHeight="false" outlineLevel="0" collapsed="false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 customFormat="false" ht="15.75" hidden="false" customHeight="false" outlineLevel="0" collapsed="false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 customFormat="false" ht="15.75" hidden="false" customHeight="false" outlineLevel="0" collapsed="false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 customFormat="false" ht="15.75" hidden="false" customHeight="false" outlineLevel="0" collapsed="false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 customFormat="false" ht="15.75" hidden="false" customHeight="false" outlineLevel="0" collapsed="false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 customFormat="false" ht="15.75" hidden="false" customHeight="false" outlineLevel="0" collapsed="false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 customFormat="false" ht="15.75" hidden="false" customHeight="false" outlineLevel="0" collapsed="false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 customFormat="false" ht="15.75" hidden="false" customHeight="false" outlineLevel="0" collapsed="false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 customFormat="false" ht="15.75" hidden="false" customHeight="false" outlineLevel="0" collapsed="false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 customFormat="false" ht="15.75" hidden="false" customHeight="false" outlineLevel="0" collapsed="false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 customFormat="false" ht="15.75" hidden="false" customHeight="false" outlineLevel="0" collapsed="false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 customFormat="false" ht="15.75" hidden="false" customHeight="false" outlineLevel="0" collapsed="false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 customFormat="false" ht="15.75" hidden="false" customHeight="false" outlineLevel="0" collapsed="false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customFormat="false" ht="15.75" hidden="false" customHeight="false" outlineLevel="0" collapsed="false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 customFormat="false" ht="15.75" hidden="false" customHeight="false" outlineLevel="0" collapsed="false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 customFormat="false" ht="15.75" hidden="false" customHeight="false" outlineLevel="0" collapsed="false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 customFormat="false" ht="15.75" hidden="false" customHeight="false" outlineLevel="0" collapsed="false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 customFormat="false" ht="15.75" hidden="false" customHeight="false" outlineLevel="0" collapsed="false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 customFormat="false" ht="15.75" hidden="false" customHeight="false" outlineLevel="0" collapsed="false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 customFormat="false" ht="15.75" hidden="false" customHeight="false" outlineLevel="0" collapsed="false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 customFormat="false" ht="15.75" hidden="false" customHeight="false" outlineLevel="0" collapsed="false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 customFormat="false" ht="15.75" hidden="false" customHeight="false" outlineLevel="0" collapsed="false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 customFormat="false" ht="15.75" hidden="false" customHeight="false" outlineLevel="0" collapsed="false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 customFormat="false" ht="15.75" hidden="false" customHeight="false" outlineLevel="0" collapsed="false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 customFormat="false" ht="15.75" hidden="false" customHeight="false" outlineLevel="0" collapsed="false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 customFormat="false" ht="15.75" hidden="false" customHeight="false" outlineLevel="0" collapsed="false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 customFormat="false" ht="15.75" hidden="false" customHeight="false" outlineLevel="0" collapsed="false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 customFormat="false" ht="15.75" hidden="false" customHeight="false" outlineLevel="0" collapsed="false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 customFormat="false" ht="15.75" hidden="false" customHeight="false" outlineLevel="0" collapsed="false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 customFormat="false" ht="15.75" hidden="false" customHeight="false" outlineLevel="0" collapsed="false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 customFormat="false" ht="15.75" hidden="false" customHeight="false" outlineLevel="0" collapsed="false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 customFormat="false" ht="15.75" hidden="false" customHeight="false" outlineLevel="0" collapsed="false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customFormat="false" ht="15.75" hidden="false" customHeight="false" outlineLevel="0" collapsed="false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customFormat="false" ht="15.75" hidden="false" customHeight="false" outlineLevel="0" collapsed="false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customFormat="false" ht="15.75" hidden="false" customHeight="false" outlineLevel="0" collapsed="false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customFormat="false" ht="15.75" hidden="false" customHeight="false" outlineLevel="0" collapsed="false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customFormat="false" ht="15.75" hidden="false" customHeight="false" outlineLevel="0" collapsed="false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customFormat="false" ht="15.75" hidden="false" customHeight="false" outlineLevel="0" collapsed="false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customFormat="false" ht="15.75" hidden="false" customHeight="false" outlineLevel="0" collapsed="false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customFormat="false" ht="15.75" hidden="false" customHeight="false" outlineLevel="0" collapsed="false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customFormat="false" ht="15.75" hidden="false" customHeight="false" outlineLevel="0" collapsed="false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customFormat="false" ht="15.75" hidden="false" customHeight="false" outlineLevel="0" collapsed="false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customFormat="false" ht="15.75" hidden="false" customHeight="false" outlineLevel="0" collapsed="false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customFormat="false" ht="15.75" hidden="false" customHeight="false" outlineLevel="0" collapsed="false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customFormat="false" ht="15.75" hidden="false" customHeight="false" outlineLevel="0" collapsed="false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customFormat="false" ht="15.75" hidden="false" customHeight="false" outlineLevel="0" collapsed="false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customFormat="false" ht="15.75" hidden="false" customHeight="false" outlineLevel="0" collapsed="false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customFormat="false" ht="15.75" hidden="false" customHeight="false" outlineLevel="0" collapsed="false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customFormat="false" ht="15.75" hidden="false" customHeight="false" outlineLevel="0" collapsed="false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customFormat="false" ht="15.75" hidden="false" customHeight="false" outlineLevel="0" collapsed="false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customFormat="false" ht="15.75" hidden="false" customHeight="false" outlineLevel="0" collapsed="false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customFormat="false" ht="15.75" hidden="false" customHeight="false" outlineLevel="0" collapsed="false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customFormat="false" ht="15.75" hidden="false" customHeight="false" outlineLevel="0" collapsed="false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customFormat="false" ht="15.75" hidden="false" customHeight="false" outlineLevel="0" collapsed="false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customFormat="false" ht="15.75" hidden="false" customHeight="false" outlineLevel="0" collapsed="false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customFormat="false" ht="15.75" hidden="false" customHeight="false" outlineLevel="0" collapsed="false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customFormat="false" ht="15.75" hidden="false" customHeight="false" outlineLevel="0" collapsed="false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customFormat="false" ht="15.75" hidden="false" customHeight="false" outlineLevel="0" collapsed="false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customFormat="false" ht="15.75" hidden="false" customHeight="false" outlineLevel="0" collapsed="false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customFormat="false" ht="15.75" hidden="false" customHeight="false" outlineLevel="0" collapsed="false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customFormat="false" ht="15.75" hidden="false" customHeight="false" outlineLevel="0" collapsed="false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customFormat="false" ht="15.75" hidden="false" customHeight="false" outlineLevel="0" collapsed="false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customFormat="false" ht="15.75" hidden="false" customHeight="false" outlineLevel="0" collapsed="false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customFormat="false" ht="15.75" hidden="false" customHeight="false" outlineLevel="0" collapsed="false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customFormat="false" ht="15.75" hidden="false" customHeight="false" outlineLevel="0" collapsed="false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customFormat="false" ht="15.75" hidden="false" customHeight="false" outlineLevel="0" collapsed="false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customFormat="false" ht="15.75" hidden="false" customHeight="false" outlineLevel="0" collapsed="false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customFormat="false" ht="15.75" hidden="false" customHeight="false" outlineLevel="0" collapsed="false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customFormat="false" ht="15.75" hidden="false" customHeight="false" outlineLevel="0" collapsed="false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customFormat="false" ht="15.75" hidden="false" customHeight="false" outlineLevel="0" collapsed="false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customFormat="false" ht="15.75" hidden="false" customHeight="false" outlineLevel="0" collapsed="false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customFormat="false" ht="15.75" hidden="false" customHeight="false" outlineLevel="0" collapsed="false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customFormat="false" ht="15.75" hidden="false" customHeight="false" outlineLevel="0" collapsed="false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customFormat="false" ht="15.75" hidden="false" customHeight="false" outlineLevel="0" collapsed="false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customFormat="false" ht="15.75" hidden="false" customHeight="false" outlineLevel="0" collapsed="false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customFormat="false" ht="15.75" hidden="false" customHeight="false" outlineLevel="0" collapsed="false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customFormat="false" ht="15.75" hidden="false" customHeight="false" outlineLevel="0" collapsed="false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customFormat="false" ht="15.75" hidden="false" customHeight="false" outlineLevel="0" collapsed="false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customFormat="false" ht="15.75" hidden="false" customHeight="false" outlineLevel="0" collapsed="false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customFormat="false" ht="15.75" hidden="false" customHeight="false" outlineLevel="0" collapsed="false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customFormat="false" ht="15.75" hidden="false" customHeight="false" outlineLevel="0" collapsed="false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customFormat="false" ht="15.75" hidden="false" customHeight="false" outlineLevel="0" collapsed="false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customFormat="false" ht="15.75" hidden="false" customHeight="false" outlineLevel="0" collapsed="false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customFormat="false" ht="15.75" hidden="false" customHeight="false" outlineLevel="0" collapsed="false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customFormat="false" ht="15.75" hidden="false" customHeight="false" outlineLevel="0" collapsed="false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customFormat="false" ht="15.75" hidden="false" customHeight="false" outlineLevel="0" collapsed="false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customFormat="false" ht="15.75" hidden="false" customHeight="false" outlineLevel="0" collapsed="false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customFormat="false" ht="15.75" hidden="false" customHeight="false" outlineLevel="0" collapsed="false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customFormat="false" ht="15.75" hidden="false" customHeight="false" outlineLevel="0" collapsed="false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customFormat="false" ht="15.75" hidden="false" customHeight="false" outlineLevel="0" collapsed="false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customFormat="false" ht="15.75" hidden="false" customHeight="false" outlineLevel="0" collapsed="false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customFormat="false" ht="15.75" hidden="false" customHeight="false" outlineLevel="0" collapsed="false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customFormat="false" ht="15.75" hidden="false" customHeight="false" outlineLevel="0" collapsed="false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customFormat="false" ht="15.75" hidden="false" customHeight="false" outlineLevel="0" collapsed="false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customFormat="false" ht="15.75" hidden="false" customHeight="false" outlineLevel="0" collapsed="false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customFormat="false" ht="15.75" hidden="false" customHeight="false" outlineLevel="0" collapsed="false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customFormat="false" ht="15.75" hidden="false" customHeight="false" outlineLevel="0" collapsed="false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customFormat="false" ht="15.75" hidden="false" customHeight="false" outlineLevel="0" collapsed="false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customFormat="false" ht="15.75" hidden="false" customHeight="false" outlineLevel="0" collapsed="false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customFormat="false" ht="15.75" hidden="false" customHeight="false" outlineLevel="0" collapsed="false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customFormat="false" ht="15.75" hidden="false" customHeight="false" outlineLevel="0" collapsed="false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customFormat="false" ht="15.75" hidden="false" customHeight="false" outlineLevel="0" collapsed="false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customFormat="false" ht="15.75" hidden="false" customHeight="false" outlineLevel="0" collapsed="false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customFormat="false" ht="15.75" hidden="false" customHeight="false" outlineLevel="0" collapsed="false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customFormat="false" ht="15.75" hidden="false" customHeight="false" outlineLevel="0" collapsed="false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customFormat="false" ht="15.75" hidden="false" customHeight="false" outlineLevel="0" collapsed="false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customFormat="false" ht="15.75" hidden="false" customHeight="false" outlineLevel="0" collapsed="false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customFormat="false" ht="15.75" hidden="false" customHeight="false" outlineLevel="0" collapsed="false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customFormat="false" ht="15.75" hidden="false" customHeight="false" outlineLevel="0" collapsed="false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customFormat="false" ht="15.75" hidden="false" customHeight="false" outlineLevel="0" collapsed="false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customFormat="false" ht="15.75" hidden="false" customHeight="false" outlineLevel="0" collapsed="false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customFormat="false" ht="15.75" hidden="false" customHeight="false" outlineLevel="0" collapsed="false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customFormat="false" ht="15.75" hidden="false" customHeight="false" outlineLevel="0" collapsed="false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customFormat="false" ht="15.75" hidden="false" customHeight="false" outlineLevel="0" collapsed="false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customFormat="false" ht="15.75" hidden="false" customHeight="false" outlineLevel="0" collapsed="false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customFormat="false" ht="15.75" hidden="false" customHeight="false" outlineLevel="0" collapsed="false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customFormat="false" ht="15.75" hidden="false" customHeight="false" outlineLevel="0" collapsed="false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customFormat="false" ht="15.75" hidden="false" customHeight="false" outlineLevel="0" collapsed="false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customFormat="false" ht="15.75" hidden="false" customHeight="false" outlineLevel="0" collapsed="false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customFormat="false" ht="15.75" hidden="false" customHeight="false" outlineLevel="0" collapsed="false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customFormat="false" ht="15.75" hidden="false" customHeight="false" outlineLevel="0" collapsed="false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customFormat="false" ht="15.75" hidden="false" customHeight="false" outlineLevel="0" collapsed="false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customFormat="false" ht="15.75" hidden="false" customHeight="false" outlineLevel="0" collapsed="false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customFormat="false" ht="15.75" hidden="false" customHeight="false" outlineLevel="0" collapsed="false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customFormat="false" ht="15.75" hidden="false" customHeight="false" outlineLevel="0" collapsed="false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customFormat="false" ht="15.75" hidden="false" customHeight="false" outlineLevel="0" collapsed="false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customFormat="false" ht="15.75" hidden="false" customHeight="false" outlineLevel="0" collapsed="false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customFormat="false" ht="15.75" hidden="false" customHeight="false" outlineLevel="0" collapsed="false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customFormat="false" ht="15.75" hidden="false" customHeight="false" outlineLevel="0" collapsed="false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customFormat="false" ht="15.75" hidden="false" customHeight="false" outlineLevel="0" collapsed="false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customFormat="false" ht="15.75" hidden="false" customHeight="false" outlineLevel="0" collapsed="false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customFormat="false" ht="15.75" hidden="false" customHeight="false" outlineLevel="0" collapsed="false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customFormat="false" ht="15.75" hidden="false" customHeight="false" outlineLevel="0" collapsed="false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customFormat="false" ht="15.75" hidden="false" customHeight="false" outlineLevel="0" collapsed="false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customFormat="false" ht="15.75" hidden="false" customHeight="false" outlineLevel="0" collapsed="false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customFormat="false" ht="15.75" hidden="false" customHeight="false" outlineLevel="0" collapsed="false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customFormat="false" ht="15.75" hidden="false" customHeight="false" outlineLevel="0" collapsed="false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customFormat="false" ht="15.75" hidden="false" customHeight="false" outlineLevel="0" collapsed="false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customFormat="false" ht="15.75" hidden="false" customHeight="false" outlineLevel="0" collapsed="false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customFormat="false" ht="15.75" hidden="false" customHeight="false" outlineLevel="0" collapsed="false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customFormat="false" ht="15.75" hidden="false" customHeight="false" outlineLevel="0" collapsed="false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customFormat="false" ht="15.75" hidden="false" customHeight="false" outlineLevel="0" collapsed="false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customFormat="false" ht="15.75" hidden="false" customHeight="false" outlineLevel="0" collapsed="false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customFormat="false" ht="15.75" hidden="false" customHeight="false" outlineLevel="0" collapsed="false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customFormat="false" ht="15.75" hidden="false" customHeight="false" outlineLevel="0" collapsed="false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customFormat="false" ht="15.75" hidden="false" customHeight="false" outlineLevel="0" collapsed="false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customFormat="false" ht="15.75" hidden="false" customHeight="false" outlineLevel="0" collapsed="false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customFormat="false" ht="15.75" hidden="false" customHeight="false" outlineLevel="0" collapsed="false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customFormat="false" ht="15.75" hidden="false" customHeight="false" outlineLevel="0" collapsed="false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customFormat="false" ht="15.75" hidden="false" customHeight="false" outlineLevel="0" collapsed="false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customFormat="false" ht="15.75" hidden="false" customHeight="false" outlineLevel="0" collapsed="false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customFormat="false" ht="15.75" hidden="false" customHeight="false" outlineLevel="0" collapsed="false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customFormat="false" ht="15.75" hidden="false" customHeight="false" outlineLevel="0" collapsed="false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customFormat="false" ht="15.75" hidden="false" customHeight="false" outlineLevel="0" collapsed="false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customFormat="false" ht="15.75" hidden="false" customHeight="false" outlineLevel="0" collapsed="false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customFormat="false" ht="15.75" hidden="false" customHeight="false" outlineLevel="0" collapsed="false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customFormat="false" ht="15.75" hidden="false" customHeight="false" outlineLevel="0" collapsed="false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customFormat="false" ht="15.75" hidden="false" customHeight="false" outlineLevel="0" collapsed="false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customFormat="false" ht="15.75" hidden="false" customHeight="false" outlineLevel="0" collapsed="false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customFormat="false" ht="15.75" hidden="false" customHeight="false" outlineLevel="0" collapsed="false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customFormat="false" ht="15.75" hidden="false" customHeight="false" outlineLevel="0" collapsed="false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customFormat="false" ht="15.75" hidden="false" customHeight="false" outlineLevel="0" collapsed="false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customFormat="false" ht="15.75" hidden="false" customHeight="false" outlineLevel="0" collapsed="false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customFormat="false" ht="15.75" hidden="false" customHeight="false" outlineLevel="0" collapsed="false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customFormat="false" ht="15.75" hidden="false" customHeight="false" outlineLevel="0" collapsed="false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customFormat="false" ht="15.75" hidden="false" customHeight="false" outlineLevel="0" collapsed="false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customFormat="false" ht="15.75" hidden="false" customHeight="false" outlineLevel="0" collapsed="false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customFormat="false" ht="15.75" hidden="false" customHeight="false" outlineLevel="0" collapsed="false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customFormat="false" ht="15.75" hidden="false" customHeight="false" outlineLevel="0" collapsed="false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customFormat="false" ht="15.75" hidden="false" customHeight="false" outlineLevel="0" collapsed="false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customFormat="false" ht="15.75" hidden="false" customHeight="false" outlineLevel="0" collapsed="false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customFormat="false" ht="15.75" hidden="false" customHeight="false" outlineLevel="0" collapsed="false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customFormat="false" ht="15.75" hidden="false" customHeight="false" outlineLevel="0" collapsed="false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customFormat="false" ht="15.75" hidden="false" customHeight="false" outlineLevel="0" collapsed="false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customFormat="false" ht="15.75" hidden="false" customHeight="false" outlineLevel="0" collapsed="false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customFormat="false" ht="15.75" hidden="false" customHeight="false" outlineLevel="0" collapsed="false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customFormat="false" ht="15.75" hidden="false" customHeight="false" outlineLevel="0" collapsed="false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customFormat="false" ht="15.75" hidden="false" customHeight="false" outlineLevel="0" collapsed="false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customFormat="false" ht="15.75" hidden="false" customHeight="false" outlineLevel="0" collapsed="false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customFormat="false" ht="15.75" hidden="false" customHeight="false" outlineLevel="0" collapsed="false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customFormat="false" ht="15.75" hidden="false" customHeight="false" outlineLevel="0" collapsed="false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customFormat="false" ht="15.75" hidden="false" customHeight="false" outlineLevel="0" collapsed="false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customFormat="false" ht="15.75" hidden="false" customHeight="false" outlineLevel="0" collapsed="false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customFormat="false" ht="15.75" hidden="false" customHeight="false" outlineLevel="0" collapsed="false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customFormat="false" ht="15.75" hidden="false" customHeight="false" outlineLevel="0" collapsed="false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customFormat="false" ht="15.75" hidden="false" customHeight="false" outlineLevel="0" collapsed="false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customFormat="false" ht="15.75" hidden="false" customHeight="false" outlineLevel="0" collapsed="false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customFormat="false" ht="15.75" hidden="false" customHeight="false" outlineLevel="0" collapsed="false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customFormat="false" ht="15.75" hidden="false" customHeight="false" outlineLevel="0" collapsed="false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customFormat="false" ht="15.75" hidden="false" customHeight="false" outlineLevel="0" collapsed="false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customFormat="false" ht="15.75" hidden="false" customHeight="false" outlineLevel="0" collapsed="false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customFormat="false" ht="15.75" hidden="false" customHeight="false" outlineLevel="0" collapsed="false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customFormat="false" ht="15.75" hidden="false" customHeight="false" outlineLevel="0" collapsed="false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customFormat="false" ht="15.75" hidden="false" customHeight="false" outlineLevel="0" collapsed="false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customFormat="false" ht="15.75" hidden="false" customHeight="false" outlineLevel="0" collapsed="false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customFormat="false" ht="15.75" hidden="false" customHeight="false" outlineLevel="0" collapsed="false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customFormat="false" ht="15.75" hidden="false" customHeight="false" outlineLevel="0" collapsed="false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customFormat="false" ht="15.75" hidden="false" customHeight="false" outlineLevel="0" collapsed="false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customFormat="false" ht="15.75" hidden="false" customHeight="false" outlineLevel="0" collapsed="false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customFormat="false" ht="15.75" hidden="false" customHeight="false" outlineLevel="0" collapsed="false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customFormat="false" ht="15.75" hidden="false" customHeight="false" outlineLevel="0" collapsed="false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customFormat="false" ht="15.75" hidden="false" customHeight="false" outlineLevel="0" collapsed="false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customFormat="false" ht="15.75" hidden="false" customHeight="false" outlineLevel="0" collapsed="false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customFormat="false" ht="15.75" hidden="false" customHeight="false" outlineLevel="0" collapsed="false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customFormat="false" ht="15.75" hidden="false" customHeight="false" outlineLevel="0" collapsed="false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customFormat="false" ht="15.75" hidden="false" customHeight="false" outlineLevel="0" collapsed="false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customFormat="false" ht="15.75" hidden="false" customHeight="false" outlineLevel="0" collapsed="false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customFormat="false" ht="15.75" hidden="false" customHeight="false" outlineLevel="0" collapsed="false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customFormat="false" ht="15.75" hidden="false" customHeight="false" outlineLevel="0" collapsed="false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customFormat="false" ht="15.75" hidden="false" customHeight="false" outlineLevel="0" collapsed="false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customFormat="false" ht="15.75" hidden="false" customHeight="false" outlineLevel="0" collapsed="false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customFormat="false" ht="15.75" hidden="false" customHeight="false" outlineLevel="0" collapsed="false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customFormat="false" ht="15.75" hidden="false" customHeight="false" outlineLevel="0" collapsed="false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customFormat="false" ht="15.75" hidden="false" customHeight="false" outlineLevel="0" collapsed="false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customFormat="false" ht="15.75" hidden="false" customHeight="false" outlineLevel="0" collapsed="false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customFormat="false" ht="15.75" hidden="false" customHeight="false" outlineLevel="0" collapsed="false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customFormat="false" ht="15.75" hidden="false" customHeight="false" outlineLevel="0" collapsed="false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customFormat="false" ht="15.75" hidden="false" customHeight="false" outlineLevel="0" collapsed="false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customFormat="false" ht="15.75" hidden="false" customHeight="false" outlineLevel="0" collapsed="false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customFormat="false" ht="15.75" hidden="false" customHeight="false" outlineLevel="0" collapsed="false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customFormat="false" ht="15.75" hidden="false" customHeight="false" outlineLevel="0" collapsed="false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customFormat="false" ht="15.75" hidden="false" customHeight="false" outlineLevel="0" collapsed="false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customFormat="false" ht="15.75" hidden="false" customHeight="false" outlineLevel="0" collapsed="false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customFormat="false" ht="15.75" hidden="false" customHeight="false" outlineLevel="0" collapsed="false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customFormat="false" ht="15.75" hidden="false" customHeight="false" outlineLevel="0" collapsed="false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customFormat="false" ht="15.75" hidden="false" customHeight="false" outlineLevel="0" collapsed="false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customFormat="false" ht="15.75" hidden="false" customHeight="false" outlineLevel="0" collapsed="false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customFormat="false" ht="15.75" hidden="false" customHeight="false" outlineLevel="0" collapsed="false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customFormat="false" ht="15.75" hidden="false" customHeight="false" outlineLevel="0" collapsed="false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customFormat="false" ht="15.75" hidden="false" customHeight="false" outlineLevel="0" collapsed="false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customFormat="false" ht="15.75" hidden="false" customHeight="false" outlineLevel="0" collapsed="false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customFormat="false" ht="15.75" hidden="false" customHeight="false" outlineLevel="0" collapsed="false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customFormat="false" ht="15.75" hidden="false" customHeight="false" outlineLevel="0" collapsed="false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customFormat="false" ht="15.75" hidden="false" customHeight="false" outlineLevel="0" collapsed="false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customFormat="false" ht="15.75" hidden="false" customHeight="false" outlineLevel="0" collapsed="false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customFormat="false" ht="15.75" hidden="false" customHeight="false" outlineLevel="0" collapsed="false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customFormat="false" ht="15.75" hidden="false" customHeight="false" outlineLevel="0" collapsed="false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customFormat="false" ht="15.75" hidden="false" customHeight="false" outlineLevel="0" collapsed="false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customFormat="false" ht="15.75" hidden="false" customHeight="false" outlineLevel="0" collapsed="false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customFormat="false" ht="15.75" hidden="false" customHeight="false" outlineLevel="0" collapsed="false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customFormat="false" ht="15.75" hidden="false" customHeight="false" outlineLevel="0" collapsed="false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customFormat="false" ht="15.75" hidden="false" customHeight="false" outlineLevel="0" collapsed="false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customFormat="false" ht="15.75" hidden="false" customHeight="false" outlineLevel="0" collapsed="false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customFormat="false" ht="15.75" hidden="false" customHeight="false" outlineLevel="0" collapsed="false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customFormat="false" ht="15.75" hidden="false" customHeight="false" outlineLevel="0" collapsed="false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customFormat="false" ht="15.75" hidden="false" customHeight="false" outlineLevel="0" collapsed="false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customFormat="false" ht="15.75" hidden="false" customHeight="false" outlineLevel="0" collapsed="false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customFormat="false" ht="15.75" hidden="false" customHeight="false" outlineLevel="0" collapsed="false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customFormat="false" ht="15.75" hidden="false" customHeight="false" outlineLevel="0" collapsed="false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customFormat="false" ht="15.75" hidden="false" customHeight="false" outlineLevel="0" collapsed="false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customFormat="false" ht="15.75" hidden="false" customHeight="false" outlineLevel="0" collapsed="false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customFormat="false" ht="15.75" hidden="false" customHeight="false" outlineLevel="0" collapsed="false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customFormat="false" ht="15.75" hidden="false" customHeight="false" outlineLevel="0" collapsed="false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customFormat="false" ht="15.75" hidden="false" customHeight="false" outlineLevel="0" collapsed="false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customFormat="false" ht="15.75" hidden="false" customHeight="false" outlineLevel="0" collapsed="false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customFormat="false" ht="15.75" hidden="false" customHeight="false" outlineLevel="0" collapsed="false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customFormat="false" ht="15.75" hidden="false" customHeight="false" outlineLevel="0" collapsed="false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customFormat="false" ht="15.75" hidden="false" customHeight="false" outlineLevel="0" collapsed="false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customFormat="false" ht="15.75" hidden="false" customHeight="false" outlineLevel="0" collapsed="false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customFormat="false" ht="15.75" hidden="false" customHeight="false" outlineLevel="0" collapsed="false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customFormat="false" ht="15.75" hidden="false" customHeight="false" outlineLevel="0" collapsed="false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customFormat="false" ht="15.75" hidden="false" customHeight="false" outlineLevel="0" collapsed="false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customFormat="false" ht="15.75" hidden="false" customHeight="false" outlineLevel="0" collapsed="false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customFormat="false" ht="15.75" hidden="false" customHeight="false" outlineLevel="0" collapsed="false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customFormat="false" ht="15.75" hidden="false" customHeight="false" outlineLevel="0" collapsed="false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customFormat="false" ht="15.75" hidden="false" customHeight="false" outlineLevel="0" collapsed="false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customFormat="false" ht="15.75" hidden="false" customHeight="false" outlineLevel="0" collapsed="false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customFormat="false" ht="15.75" hidden="false" customHeight="false" outlineLevel="0" collapsed="false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customFormat="false" ht="15.75" hidden="false" customHeight="false" outlineLevel="0" collapsed="false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customFormat="false" ht="15.75" hidden="false" customHeight="false" outlineLevel="0" collapsed="false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customFormat="false" ht="15.75" hidden="false" customHeight="false" outlineLevel="0" collapsed="false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customFormat="false" ht="15.75" hidden="false" customHeight="false" outlineLevel="0" collapsed="false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customFormat="false" ht="15.75" hidden="false" customHeight="false" outlineLevel="0" collapsed="false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customFormat="false" ht="15.75" hidden="false" customHeight="false" outlineLevel="0" collapsed="false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customFormat="false" ht="15.75" hidden="false" customHeight="false" outlineLevel="0" collapsed="false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customFormat="false" ht="15.75" hidden="false" customHeight="false" outlineLevel="0" collapsed="false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customFormat="false" ht="15.75" hidden="false" customHeight="false" outlineLevel="0" collapsed="false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customFormat="false" ht="15.75" hidden="false" customHeight="false" outlineLevel="0" collapsed="false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customFormat="false" ht="15.75" hidden="false" customHeight="false" outlineLevel="0" collapsed="false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customFormat="false" ht="15.75" hidden="false" customHeight="false" outlineLevel="0" collapsed="false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customFormat="false" ht="15.75" hidden="false" customHeight="false" outlineLevel="0" collapsed="false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customFormat="false" ht="15.75" hidden="false" customHeight="false" outlineLevel="0" collapsed="false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customFormat="false" ht="15.75" hidden="false" customHeight="false" outlineLevel="0" collapsed="false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customFormat="false" ht="15.75" hidden="false" customHeight="false" outlineLevel="0" collapsed="false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customFormat="false" ht="15.75" hidden="false" customHeight="false" outlineLevel="0" collapsed="false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customFormat="false" ht="15.75" hidden="false" customHeight="false" outlineLevel="0" collapsed="false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customFormat="false" ht="15.75" hidden="false" customHeight="false" outlineLevel="0" collapsed="false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customFormat="false" ht="15.75" hidden="false" customHeight="false" outlineLevel="0" collapsed="false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customFormat="false" ht="15.75" hidden="false" customHeight="false" outlineLevel="0" collapsed="false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customFormat="false" ht="15.75" hidden="false" customHeight="false" outlineLevel="0" collapsed="false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customFormat="false" ht="15.75" hidden="false" customHeight="false" outlineLevel="0" collapsed="false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customFormat="false" ht="15.75" hidden="false" customHeight="false" outlineLevel="0" collapsed="false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customFormat="false" ht="15.75" hidden="false" customHeight="false" outlineLevel="0" collapsed="false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customFormat="false" ht="15.75" hidden="false" customHeight="false" outlineLevel="0" collapsed="false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customFormat="false" ht="15.75" hidden="false" customHeight="false" outlineLevel="0" collapsed="false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customFormat="false" ht="15.75" hidden="false" customHeight="false" outlineLevel="0" collapsed="false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customFormat="false" ht="15.75" hidden="false" customHeight="false" outlineLevel="0" collapsed="false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customFormat="false" ht="15.75" hidden="false" customHeight="false" outlineLevel="0" collapsed="false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customFormat="false" ht="15.75" hidden="false" customHeight="false" outlineLevel="0" collapsed="false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customFormat="false" ht="15.75" hidden="false" customHeight="false" outlineLevel="0" collapsed="false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customFormat="false" ht="15.75" hidden="false" customHeight="false" outlineLevel="0" collapsed="false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customFormat="false" ht="15.75" hidden="false" customHeight="false" outlineLevel="0" collapsed="false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customFormat="false" ht="15.75" hidden="false" customHeight="false" outlineLevel="0" collapsed="false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customFormat="false" ht="15.75" hidden="false" customHeight="false" outlineLevel="0" collapsed="false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customFormat="false" ht="15.75" hidden="false" customHeight="false" outlineLevel="0" collapsed="false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customFormat="false" ht="15.75" hidden="false" customHeight="false" outlineLevel="0" collapsed="false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customFormat="false" ht="15.75" hidden="false" customHeight="false" outlineLevel="0" collapsed="false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customFormat="false" ht="15.75" hidden="false" customHeight="false" outlineLevel="0" collapsed="false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customFormat="false" ht="15.75" hidden="false" customHeight="false" outlineLevel="0" collapsed="false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customFormat="false" ht="15.75" hidden="false" customHeight="false" outlineLevel="0" collapsed="false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customFormat="false" ht="15.75" hidden="false" customHeight="false" outlineLevel="0" collapsed="false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customFormat="false" ht="15.75" hidden="false" customHeight="false" outlineLevel="0" collapsed="false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customFormat="false" ht="15.75" hidden="false" customHeight="false" outlineLevel="0" collapsed="false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customFormat="false" ht="15.75" hidden="false" customHeight="false" outlineLevel="0" collapsed="false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customFormat="false" ht="15.75" hidden="false" customHeight="false" outlineLevel="0" collapsed="false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customFormat="false" ht="15.75" hidden="false" customHeight="false" outlineLevel="0" collapsed="false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customFormat="false" ht="15.75" hidden="false" customHeight="false" outlineLevel="0" collapsed="false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customFormat="false" ht="15.75" hidden="false" customHeight="false" outlineLevel="0" collapsed="false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customFormat="false" ht="15.75" hidden="false" customHeight="false" outlineLevel="0" collapsed="false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customFormat="false" ht="15.75" hidden="false" customHeight="false" outlineLevel="0" collapsed="false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customFormat="false" ht="15.75" hidden="false" customHeight="false" outlineLevel="0" collapsed="false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customFormat="false" ht="15.75" hidden="false" customHeight="false" outlineLevel="0" collapsed="false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customFormat="false" ht="15.75" hidden="false" customHeight="false" outlineLevel="0" collapsed="false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customFormat="false" ht="15.75" hidden="false" customHeight="false" outlineLevel="0" collapsed="false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customFormat="false" ht="15.75" hidden="false" customHeight="false" outlineLevel="0" collapsed="false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customFormat="false" ht="15.75" hidden="false" customHeight="false" outlineLevel="0" collapsed="false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customFormat="false" ht="15.75" hidden="false" customHeight="false" outlineLevel="0" collapsed="false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customFormat="false" ht="15.75" hidden="false" customHeight="false" outlineLevel="0" collapsed="false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customFormat="false" ht="15.75" hidden="false" customHeight="false" outlineLevel="0" collapsed="false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customFormat="false" ht="15.75" hidden="false" customHeight="false" outlineLevel="0" collapsed="false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customFormat="false" ht="15.75" hidden="false" customHeight="false" outlineLevel="0" collapsed="false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customFormat="false" ht="15.75" hidden="false" customHeight="false" outlineLevel="0" collapsed="false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customFormat="false" ht="15.75" hidden="false" customHeight="false" outlineLevel="0" collapsed="false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customFormat="false" ht="15.75" hidden="false" customHeight="false" outlineLevel="0" collapsed="false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customFormat="false" ht="15.75" hidden="false" customHeight="false" outlineLevel="0" collapsed="false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customFormat="false" ht="15.75" hidden="false" customHeight="false" outlineLevel="0" collapsed="false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customFormat="false" ht="15.75" hidden="false" customHeight="false" outlineLevel="0" collapsed="false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customFormat="false" ht="15.75" hidden="false" customHeight="false" outlineLevel="0" collapsed="false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customFormat="false" ht="15.75" hidden="false" customHeight="false" outlineLevel="0" collapsed="false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customFormat="false" ht="15.75" hidden="false" customHeight="false" outlineLevel="0" collapsed="false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customFormat="false" ht="15.75" hidden="false" customHeight="false" outlineLevel="0" collapsed="false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customFormat="false" ht="15.75" hidden="false" customHeight="false" outlineLevel="0" collapsed="false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customFormat="false" ht="15.75" hidden="false" customHeight="false" outlineLevel="0" collapsed="false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customFormat="false" ht="15.75" hidden="false" customHeight="false" outlineLevel="0" collapsed="false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customFormat="false" ht="15.75" hidden="false" customHeight="false" outlineLevel="0" collapsed="false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customFormat="false" ht="15.75" hidden="false" customHeight="false" outlineLevel="0" collapsed="false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customFormat="false" ht="15.75" hidden="false" customHeight="false" outlineLevel="0" collapsed="false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customFormat="false" ht="15.75" hidden="false" customHeight="false" outlineLevel="0" collapsed="false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customFormat="false" ht="15.75" hidden="false" customHeight="false" outlineLevel="0" collapsed="false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customFormat="false" ht="15.75" hidden="false" customHeight="false" outlineLevel="0" collapsed="false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customFormat="false" ht="15.75" hidden="false" customHeight="false" outlineLevel="0" collapsed="false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customFormat="false" ht="15.75" hidden="false" customHeight="false" outlineLevel="0" collapsed="false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customFormat="false" ht="15.75" hidden="false" customHeight="false" outlineLevel="0" collapsed="false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customFormat="false" ht="15.75" hidden="false" customHeight="false" outlineLevel="0" collapsed="false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customFormat="false" ht="15.75" hidden="false" customHeight="false" outlineLevel="0" collapsed="false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customFormat="false" ht="15.75" hidden="false" customHeight="false" outlineLevel="0" collapsed="false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customFormat="false" ht="15.75" hidden="false" customHeight="false" outlineLevel="0" collapsed="false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customFormat="false" ht="15.75" hidden="false" customHeight="false" outlineLevel="0" collapsed="false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customFormat="false" ht="15.75" hidden="false" customHeight="false" outlineLevel="0" collapsed="false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customFormat="false" ht="15.75" hidden="false" customHeight="false" outlineLevel="0" collapsed="false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customFormat="false" ht="15.75" hidden="false" customHeight="false" outlineLevel="0" collapsed="false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customFormat="false" ht="15.75" hidden="false" customHeight="false" outlineLevel="0" collapsed="false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customFormat="false" ht="15.75" hidden="false" customHeight="false" outlineLevel="0" collapsed="false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customFormat="false" ht="15.75" hidden="false" customHeight="false" outlineLevel="0" collapsed="false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customFormat="false" ht="15.75" hidden="false" customHeight="false" outlineLevel="0" collapsed="false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customFormat="false" ht="15.75" hidden="false" customHeight="false" outlineLevel="0" collapsed="false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customFormat="false" ht="15.75" hidden="false" customHeight="false" outlineLevel="0" collapsed="false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customFormat="false" ht="15.75" hidden="false" customHeight="false" outlineLevel="0" collapsed="false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customFormat="false" ht="15.75" hidden="false" customHeight="false" outlineLevel="0" collapsed="false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customFormat="false" ht="15.75" hidden="false" customHeight="false" outlineLevel="0" collapsed="false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customFormat="false" ht="15.75" hidden="false" customHeight="false" outlineLevel="0" collapsed="false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customFormat="false" ht="15.75" hidden="false" customHeight="false" outlineLevel="0" collapsed="false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customFormat="false" ht="15.75" hidden="false" customHeight="false" outlineLevel="0" collapsed="false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customFormat="false" ht="15.75" hidden="false" customHeight="false" outlineLevel="0" collapsed="false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customFormat="false" ht="15.75" hidden="false" customHeight="false" outlineLevel="0" collapsed="false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customFormat="false" ht="15.75" hidden="false" customHeight="false" outlineLevel="0" collapsed="false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customFormat="false" ht="15.75" hidden="false" customHeight="false" outlineLevel="0" collapsed="false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customFormat="false" ht="15.75" hidden="false" customHeight="false" outlineLevel="0" collapsed="false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customFormat="false" ht="15.75" hidden="false" customHeight="false" outlineLevel="0" collapsed="false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customFormat="false" ht="15.75" hidden="false" customHeight="false" outlineLevel="0" collapsed="false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customFormat="false" ht="15.75" hidden="false" customHeight="false" outlineLevel="0" collapsed="false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customFormat="false" ht="15.75" hidden="false" customHeight="false" outlineLevel="0" collapsed="false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customFormat="false" ht="15.75" hidden="false" customHeight="false" outlineLevel="0" collapsed="false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customFormat="false" ht="15.75" hidden="false" customHeight="false" outlineLevel="0" collapsed="false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customFormat="false" ht="15.75" hidden="false" customHeight="false" outlineLevel="0" collapsed="false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customFormat="false" ht="15.75" hidden="false" customHeight="false" outlineLevel="0" collapsed="false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customFormat="false" ht="15.75" hidden="false" customHeight="false" outlineLevel="0" collapsed="false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customFormat="false" ht="15.75" hidden="false" customHeight="false" outlineLevel="0" collapsed="false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customFormat="false" ht="15.75" hidden="false" customHeight="false" outlineLevel="0" collapsed="false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customFormat="false" ht="15.75" hidden="false" customHeight="false" outlineLevel="0" collapsed="false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customFormat="false" ht="15.75" hidden="false" customHeight="false" outlineLevel="0" collapsed="false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customFormat="false" ht="15.75" hidden="false" customHeight="false" outlineLevel="0" collapsed="false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customFormat="false" ht="15.75" hidden="false" customHeight="false" outlineLevel="0" collapsed="false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customFormat="false" ht="15.75" hidden="false" customHeight="false" outlineLevel="0" collapsed="false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customFormat="false" ht="15.75" hidden="false" customHeight="false" outlineLevel="0" collapsed="false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customFormat="false" ht="15.75" hidden="false" customHeight="false" outlineLevel="0" collapsed="false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customFormat="false" ht="15.75" hidden="false" customHeight="false" outlineLevel="0" collapsed="false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customFormat="false" ht="15.75" hidden="false" customHeight="false" outlineLevel="0" collapsed="false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customFormat="false" ht="15.75" hidden="false" customHeight="false" outlineLevel="0" collapsed="false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customFormat="false" ht="15.75" hidden="false" customHeight="false" outlineLevel="0" collapsed="false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customFormat="false" ht="15.75" hidden="false" customHeight="false" outlineLevel="0" collapsed="false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customFormat="false" ht="15.75" hidden="false" customHeight="false" outlineLevel="0" collapsed="false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customFormat="false" ht="15.75" hidden="false" customHeight="false" outlineLevel="0" collapsed="false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customFormat="false" ht="15.75" hidden="false" customHeight="false" outlineLevel="0" collapsed="false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customFormat="false" ht="15.75" hidden="false" customHeight="false" outlineLevel="0" collapsed="false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customFormat="false" ht="15.75" hidden="false" customHeight="false" outlineLevel="0" collapsed="false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customFormat="false" ht="15.75" hidden="false" customHeight="false" outlineLevel="0" collapsed="false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customFormat="false" ht="15.75" hidden="false" customHeight="false" outlineLevel="0" collapsed="false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customFormat="false" ht="15.75" hidden="false" customHeight="false" outlineLevel="0" collapsed="false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customFormat="false" ht="15.75" hidden="false" customHeight="false" outlineLevel="0" collapsed="false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customFormat="false" ht="15.75" hidden="false" customHeight="false" outlineLevel="0" collapsed="false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customFormat="false" ht="15.75" hidden="false" customHeight="false" outlineLevel="0" collapsed="false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customFormat="false" ht="15.75" hidden="false" customHeight="false" outlineLevel="0" collapsed="false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customFormat="false" ht="15.75" hidden="false" customHeight="false" outlineLevel="0" collapsed="false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customFormat="false" ht="15.75" hidden="false" customHeight="false" outlineLevel="0" collapsed="false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customFormat="false" ht="15.75" hidden="false" customHeight="false" outlineLevel="0" collapsed="false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customFormat="false" ht="15.75" hidden="false" customHeight="false" outlineLevel="0" collapsed="false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customFormat="false" ht="15.75" hidden="false" customHeight="false" outlineLevel="0" collapsed="false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customFormat="false" ht="15.75" hidden="false" customHeight="false" outlineLevel="0" collapsed="false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customFormat="false" ht="15.75" hidden="false" customHeight="false" outlineLevel="0" collapsed="false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customFormat="false" ht="15.75" hidden="false" customHeight="false" outlineLevel="0" collapsed="false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customFormat="false" ht="15.75" hidden="false" customHeight="false" outlineLevel="0" collapsed="false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customFormat="false" ht="15.75" hidden="false" customHeight="false" outlineLevel="0" collapsed="false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customFormat="false" ht="15.75" hidden="false" customHeight="false" outlineLevel="0" collapsed="false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customFormat="false" ht="15.75" hidden="false" customHeight="false" outlineLevel="0" collapsed="false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customFormat="false" ht="15.75" hidden="false" customHeight="false" outlineLevel="0" collapsed="false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customFormat="false" ht="15.75" hidden="false" customHeight="false" outlineLevel="0" collapsed="false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customFormat="false" ht="15.75" hidden="false" customHeight="false" outlineLevel="0" collapsed="false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customFormat="false" ht="15.75" hidden="false" customHeight="false" outlineLevel="0" collapsed="false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customFormat="false" ht="15.75" hidden="false" customHeight="false" outlineLevel="0" collapsed="false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customFormat="false" ht="15.75" hidden="false" customHeight="false" outlineLevel="0" collapsed="false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customFormat="false" ht="15.75" hidden="false" customHeight="false" outlineLevel="0" collapsed="false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customFormat="false" ht="15.75" hidden="false" customHeight="false" outlineLevel="0" collapsed="false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customFormat="false" ht="15.75" hidden="false" customHeight="false" outlineLevel="0" collapsed="false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customFormat="false" ht="15.75" hidden="false" customHeight="false" outlineLevel="0" collapsed="false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customFormat="false" ht="15.75" hidden="false" customHeight="false" outlineLevel="0" collapsed="false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customFormat="false" ht="15.75" hidden="false" customHeight="false" outlineLevel="0" collapsed="false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customFormat="false" ht="15.75" hidden="false" customHeight="false" outlineLevel="0" collapsed="false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 customFormat="false" ht="15.75" hidden="false" customHeight="false" outlineLevel="0" collapsed="false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 customFormat="false" ht="15.75" hidden="false" customHeight="false" outlineLevel="0" collapsed="false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 customFormat="false" ht="15.75" hidden="false" customHeight="false" outlineLevel="0" collapsed="false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 customFormat="false" ht="15.75" hidden="false" customHeight="false" outlineLevel="0" collapsed="false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 customFormat="false" ht="15.75" hidden="false" customHeight="false" outlineLevel="0" collapsed="false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 customFormat="false" ht="15.75" hidden="false" customHeight="false" outlineLevel="0" collapsed="false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 customFormat="false" ht="15.75" hidden="false" customHeight="false" outlineLevel="0" collapsed="false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 customFormat="false" ht="15.75" hidden="false" customHeight="false" outlineLevel="0" collapsed="false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 customFormat="false" ht="15.75" hidden="false" customHeight="false" outlineLevel="0" collapsed="false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 customFormat="false" ht="15.75" hidden="false" customHeight="false" outlineLevel="0" collapsed="false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 customFormat="false" ht="15.75" hidden="false" customHeight="false" outlineLevel="0" collapsed="false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 customFormat="false" ht="15.75" hidden="false" customHeight="false" outlineLevel="0" collapsed="false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 customFormat="false" ht="15.75" hidden="false" customHeight="false" outlineLevel="0" collapsed="false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 customFormat="false" ht="15.75" hidden="false" customHeight="false" outlineLevel="0" collapsed="false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 customFormat="false" ht="15.75" hidden="false" customHeight="false" outlineLevel="0" collapsed="false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 customFormat="false" ht="15.75" hidden="false" customHeight="false" outlineLevel="0" collapsed="false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customFormat="false" ht="15.75" hidden="false" customHeight="false" outlineLevel="0" collapsed="false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customFormat="false" ht="15.75" hidden="false" customHeight="false" outlineLevel="0" collapsed="false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 customFormat="false" ht="15.75" hidden="false" customHeight="false" outlineLevel="0" collapsed="false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 customFormat="false" ht="15.75" hidden="false" customHeight="false" outlineLevel="0" collapsed="false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 customFormat="false" ht="15.75" hidden="false" customHeight="false" outlineLevel="0" collapsed="false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 customFormat="false" ht="15.75" hidden="false" customHeight="false" outlineLevel="0" collapsed="false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 customFormat="false" ht="15.75" hidden="false" customHeight="false" outlineLevel="0" collapsed="false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 customFormat="false" ht="15.75" hidden="false" customHeight="false" outlineLevel="0" collapsed="false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 customFormat="false" ht="15.75" hidden="false" customHeight="false" outlineLevel="0" collapsed="false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 customFormat="false" ht="15.75" hidden="false" customHeight="false" outlineLevel="0" collapsed="false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 customFormat="false" ht="15.75" hidden="false" customHeight="false" outlineLevel="0" collapsed="false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 customFormat="false" ht="15.75" hidden="false" customHeight="false" outlineLevel="0" collapsed="false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 customFormat="false" ht="15.75" hidden="false" customHeight="false" outlineLevel="0" collapsed="false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 customFormat="false" ht="15.75" hidden="false" customHeight="false" outlineLevel="0" collapsed="false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 customFormat="false" ht="15.75" hidden="false" customHeight="false" outlineLevel="0" collapsed="false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 customFormat="false" ht="15.75" hidden="false" customHeight="false" outlineLevel="0" collapsed="false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 customFormat="false" ht="15.75" hidden="false" customHeight="false" outlineLevel="0" collapsed="false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 customFormat="false" ht="15.75" hidden="false" customHeight="false" outlineLevel="0" collapsed="false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 customFormat="false" ht="15.75" hidden="false" customHeight="false" outlineLevel="0" collapsed="false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 customFormat="false" ht="15.75" hidden="false" customHeight="false" outlineLevel="0" collapsed="false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 customFormat="false" ht="15.75" hidden="false" customHeight="false" outlineLevel="0" collapsed="false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 customFormat="false" ht="15.75" hidden="false" customHeight="false" outlineLevel="0" collapsed="false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 customFormat="false" ht="15.75" hidden="false" customHeight="false" outlineLevel="0" collapsed="false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 customFormat="false" ht="15.75" hidden="false" customHeight="false" outlineLevel="0" collapsed="false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 customFormat="false" ht="15.75" hidden="false" customHeight="false" outlineLevel="0" collapsed="false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 customFormat="false" ht="15.75" hidden="false" customHeight="false" outlineLevel="0" collapsed="false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 customFormat="false" ht="15.75" hidden="false" customHeight="false" outlineLevel="0" collapsed="false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 customFormat="false" ht="15.75" hidden="false" customHeight="false" outlineLevel="0" collapsed="false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 customFormat="false" ht="15.75" hidden="false" customHeight="false" outlineLevel="0" collapsed="false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 customFormat="false" ht="15.75" hidden="false" customHeight="false" outlineLevel="0" collapsed="false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 customFormat="false" ht="15.75" hidden="false" customHeight="false" outlineLevel="0" collapsed="false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 customFormat="false" ht="15.75" hidden="false" customHeight="false" outlineLevel="0" collapsed="false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 customFormat="false" ht="15.75" hidden="false" customHeight="false" outlineLevel="0" collapsed="false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 customFormat="false" ht="15.75" hidden="false" customHeight="false" outlineLevel="0" collapsed="false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 customFormat="false" ht="15.75" hidden="false" customHeight="false" outlineLevel="0" collapsed="false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customFormat="false" ht="15.75" hidden="false" customHeight="false" outlineLevel="0" collapsed="false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customFormat="false" ht="15.75" hidden="false" customHeight="false" outlineLevel="0" collapsed="false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 customFormat="false" ht="15.75" hidden="false" customHeight="false" outlineLevel="0" collapsed="false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 customFormat="false" ht="15.75" hidden="false" customHeight="false" outlineLevel="0" collapsed="false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 customFormat="false" ht="15.75" hidden="false" customHeight="false" outlineLevel="0" collapsed="false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 customFormat="false" ht="15.75" hidden="false" customHeight="false" outlineLevel="0" collapsed="false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 customFormat="false" ht="15.75" hidden="false" customHeight="false" outlineLevel="0" collapsed="false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 customFormat="false" ht="15.75" hidden="false" customHeight="false" outlineLevel="0" collapsed="false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 customFormat="false" ht="15.75" hidden="false" customHeight="false" outlineLevel="0" collapsed="false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 customFormat="false" ht="15.75" hidden="false" customHeight="false" outlineLevel="0" collapsed="false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 customFormat="false" ht="15.75" hidden="false" customHeight="false" outlineLevel="0" collapsed="false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 customFormat="false" ht="15.75" hidden="false" customHeight="false" outlineLevel="0" collapsed="false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 customFormat="false" ht="15.75" hidden="false" customHeight="false" outlineLevel="0" collapsed="false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 customFormat="false" ht="15.75" hidden="false" customHeight="false" outlineLevel="0" collapsed="false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 customFormat="false" ht="15.75" hidden="false" customHeight="false" outlineLevel="0" collapsed="false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 customFormat="false" ht="15.75" hidden="false" customHeight="false" outlineLevel="0" collapsed="false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 customFormat="false" ht="15.75" hidden="false" customHeight="false" outlineLevel="0" collapsed="false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 customFormat="false" ht="15.75" hidden="false" customHeight="false" outlineLevel="0" collapsed="false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 customFormat="false" ht="15.75" hidden="false" customHeight="false" outlineLevel="0" collapsed="false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 customFormat="false" ht="15.75" hidden="false" customHeight="false" outlineLevel="0" collapsed="false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 customFormat="false" ht="15.75" hidden="false" customHeight="false" outlineLevel="0" collapsed="false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 customFormat="false" ht="15.75" hidden="false" customHeight="false" outlineLevel="0" collapsed="false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 customFormat="false" ht="15.75" hidden="false" customHeight="false" outlineLevel="0" collapsed="false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 customFormat="false" ht="15.75" hidden="false" customHeight="false" outlineLevel="0" collapsed="false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 customFormat="false" ht="15.75" hidden="false" customHeight="false" outlineLevel="0" collapsed="false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 customFormat="false" ht="15.75" hidden="false" customHeight="false" outlineLevel="0" collapsed="false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 customFormat="false" ht="15.75" hidden="false" customHeight="false" outlineLevel="0" collapsed="false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 customFormat="false" ht="15.75" hidden="false" customHeight="false" outlineLevel="0" collapsed="false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 customFormat="false" ht="15.75" hidden="false" customHeight="false" outlineLevel="0" collapsed="false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 customFormat="false" ht="15.75" hidden="false" customHeight="false" outlineLevel="0" collapsed="false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 customFormat="false" ht="15.75" hidden="false" customHeight="false" outlineLevel="0" collapsed="false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 customFormat="false" ht="15.75" hidden="false" customHeight="false" outlineLevel="0" collapsed="false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 customFormat="false" ht="15.75" hidden="false" customHeight="false" outlineLevel="0" collapsed="false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 customFormat="false" ht="15.75" hidden="false" customHeight="false" outlineLevel="0" collapsed="false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customFormat="false" ht="15.75" hidden="false" customHeight="false" outlineLevel="0" collapsed="false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customFormat="false" ht="15.75" hidden="false" customHeight="false" outlineLevel="0" collapsed="false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 customFormat="false" ht="15.75" hidden="false" customHeight="false" outlineLevel="0" collapsed="false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 customFormat="false" ht="15.75" hidden="false" customHeight="false" outlineLevel="0" collapsed="false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 customFormat="false" ht="15.75" hidden="false" customHeight="false" outlineLevel="0" collapsed="false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 customFormat="false" ht="15.75" hidden="false" customHeight="false" outlineLevel="0" collapsed="false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 customFormat="false" ht="15.75" hidden="false" customHeight="false" outlineLevel="0" collapsed="false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 customFormat="false" ht="15.75" hidden="false" customHeight="false" outlineLevel="0" collapsed="false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 customFormat="false" ht="15.75" hidden="false" customHeight="false" outlineLevel="0" collapsed="false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 customFormat="false" ht="15.75" hidden="false" customHeight="false" outlineLevel="0" collapsed="false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 customFormat="false" ht="15.75" hidden="false" customHeight="false" outlineLevel="0" collapsed="false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 customFormat="false" ht="15.75" hidden="false" customHeight="false" outlineLevel="0" collapsed="false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 customFormat="false" ht="15.75" hidden="false" customHeight="false" outlineLevel="0" collapsed="false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 customFormat="false" ht="15.75" hidden="false" customHeight="false" outlineLevel="0" collapsed="false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 customFormat="false" ht="15.75" hidden="false" customHeight="false" outlineLevel="0" collapsed="false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 customFormat="false" ht="15.75" hidden="false" customHeight="false" outlineLevel="0" collapsed="false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 customFormat="false" ht="15.75" hidden="false" customHeight="false" outlineLevel="0" collapsed="false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 customFormat="false" ht="15.75" hidden="false" customHeight="false" outlineLevel="0" collapsed="false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 customFormat="false" ht="15.75" hidden="false" customHeight="false" outlineLevel="0" collapsed="false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 customFormat="false" ht="15.75" hidden="false" customHeight="false" outlineLevel="0" collapsed="false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 customFormat="false" ht="15.75" hidden="false" customHeight="false" outlineLevel="0" collapsed="false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 customFormat="false" ht="15.75" hidden="false" customHeight="false" outlineLevel="0" collapsed="false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 customFormat="false" ht="15.75" hidden="false" customHeight="false" outlineLevel="0" collapsed="false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 customFormat="false" ht="15.75" hidden="false" customHeight="false" outlineLevel="0" collapsed="false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 customFormat="false" ht="15.75" hidden="false" customHeight="false" outlineLevel="0" collapsed="false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 customFormat="false" ht="15.75" hidden="false" customHeight="false" outlineLevel="0" collapsed="false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 customFormat="false" ht="15.75" hidden="false" customHeight="false" outlineLevel="0" collapsed="false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 customFormat="false" ht="15.75" hidden="false" customHeight="false" outlineLevel="0" collapsed="false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 customFormat="false" ht="15.75" hidden="false" customHeight="false" outlineLevel="0" collapsed="false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 customFormat="false" ht="15.75" hidden="false" customHeight="false" outlineLevel="0" collapsed="false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 customFormat="false" ht="15.75" hidden="false" customHeight="false" outlineLevel="0" collapsed="false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 customFormat="false" ht="15.75" hidden="false" customHeight="false" outlineLevel="0" collapsed="false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 customFormat="false" ht="15.75" hidden="false" customHeight="false" outlineLevel="0" collapsed="false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 customFormat="false" ht="15.75" hidden="false" customHeight="false" outlineLevel="0" collapsed="false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customFormat="false" ht="15.75" hidden="false" customHeight="false" outlineLevel="0" collapsed="false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customFormat="false" ht="15.75" hidden="false" customHeight="false" outlineLevel="0" collapsed="false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 customFormat="false" ht="15.75" hidden="false" customHeight="false" outlineLevel="0" collapsed="false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 customFormat="false" ht="15.75" hidden="false" customHeight="false" outlineLevel="0" collapsed="false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 customFormat="false" ht="15.75" hidden="false" customHeight="false" outlineLevel="0" collapsed="false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 customFormat="false" ht="15.75" hidden="false" customHeight="false" outlineLevel="0" collapsed="false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 customFormat="false" ht="15.75" hidden="false" customHeight="false" outlineLevel="0" collapsed="false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 customFormat="false" ht="15.75" hidden="false" customHeight="false" outlineLevel="0" collapsed="false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 customFormat="false" ht="15.75" hidden="false" customHeight="false" outlineLevel="0" collapsed="false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 customFormat="false" ht="15.75" hidden="false" customHeight="false" outlineLevel="0" collapsed="false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 customFormat="false" ht="15.75" hidden="false" customHeight="false" outlineLevel="0" collapsed="false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 customFormat="false" ht="15.75" hidden="false" customHeight="false" outlineLevel="0" collapsed="false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 customFormat="false" ht="15.75" hidden="false" customHeight="false" outlineLevel="0" collapsed="false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 customFormat="false" ht="15.75" hidden="false" customHeight="false" outlineLevel="0" collapsed="false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 customFormat="false" ht="15.75" hidden="false" customHeight="false" outlineLevel="0" collapsed="false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 customFormat="false" ht="15.75" hidden="false" customHeight="false" outlineLevel="0" collapsed="false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 customFormat="false" ht="15.75" hidden="false" customHeight="false" outlineLevel="0" collapsed="false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 customFormat="false" ht="15.75" hidden="false" customHeight="false" outlineLevel="0" collapsed="false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 customFormat="false" ht="15.75" hidden="false" customHeight="false" outlineLevel="0" collapsed="false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 customFormat="false" ht="15.75" hidden="false" customHeight="false" outlineLevel="0" collapsed="false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 customFormat="false" ht="15.75" hidden="false" customHeight="false" outlineLevel="0" collapsed="false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 customFormat="false" ht="15.75" hidden="false" customHeight="false" outlineLevel="0" collapsed="false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 customFormat="false" ht="15.75" hidden="false" customHeight="false" outlineLevel="0" collapsed="false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 customFormat="false" ht="15.75" hidden="false" customHeight="false" outlineLevel="0" collapsed="false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 customFormat="false" ht="15.75" hidden="false" customHeight="false" outlineLevel="0" collapsed="false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 customFormat="false" ht="15.75" hidden="false" customHeight="false" outlineLevel="0" collapsed="false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 customFormat="false" ht="15.75" hidden="false" customHeight="false" outlineLevel="0" collapsed="false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 customFormat="false" ht="15.75" hidden="false" customHeight="false" outlineLevel="0" collapsed="false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 customFormat="false" ht="15.75" hidden="false" customHeight="false" outlineLevel="0" collapsed="false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 customFormat="false" ht="15.75" hidden="false" customHeight="false" outlineLevel="0" collapsed="false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 customFormat="false" ht="15.75" hidden="false" customHeight="false" outlineLevel="0" collapsed="false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 customFormat="false" ht="15.75" hidden="false" customHeight="false" outlineLevel="0" collapsed="false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 customFormat="false" ht="15.75" hidden="false" customHeight="false" outlineLevel="0" collapsed="false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 customFormat="false" ht="15.75" hidden="false" customHeight="false" outlineLevel="0" collapsed="false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 customFormat="false" ht="15.75" hidden="false" customHeight="false" outlineLevel="0" collapsed="false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customFormat="false" ht="15.75" hidden="false" customHeight="false" outlineLevel="0" collapsed="false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customFormat="false" ht="15.75" hidden="false" customHeight="false" outlineLevel="0" collapsed="false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 customFormat="false" ht="15.75" hidden="false" customHeight="false" outlineLevel="0" collapsed="false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 customFormat="false" ht="15.75" hidden="false" customHeight="false" outlineLevel="0" collapsed="false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 customFormat="false" ht="15.75" hidden="false" customHeight="false" outlineLevel="0" collapsed="false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 customFormat="false" ht="15.75" hidden="false" customHeight="false" outlineLevel="0" collapsed="false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 customFormat="false" ht="15.75" hidden="false" customHeight="false" outlineLevel="0" collapsed="false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 customFormat="false" ht="15.75" hidden="false" customHeight="false" outlineLevel="0" collapsed="false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 customFormat="false" ht="15.75" hidden="false" customHeight="false" outlineLevel="0" collapsed="false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 customFormat="false" ht="15.75" hidden="false" customHeight="false" outlineLevel="0" collapsed="false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 customFormat="false" ht="15.75" hidden="false" customHeight="false" outlineLevel="0" collapsed="false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 customFormat="false" ht="15.75" hidden="false" customHeight="false" outlineLevel="0" collapsed="false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 customFormat="false" ht="15.75" hidden="false" customHeight="false" outlineLevel="0" collapsed="false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 customFormat="false" ht="15.75" hidden="false" customHeight="false" outlineLevel="0" collapsed="false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 customFormat="false" ht="15.75" hidden="false" customHeight="false" outlineLevel="0" collapsed="false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 customFormat="false" ht="15.75" hidden="false" customHeight="false" outlineLevel="0" collapsed="false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 customFormat="false" ht="15.75" hidden="false" customHeight="false" outlineLevel="0" collapsed="false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 customFormat="false" ht="15.75" hidden="false" customHeight="false" outlineLevel="0" collapsed="false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 customFormat="false" ht="15.75" hidden="false" customHeight="false" outlineLevel="0" collapsed="false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 customFormat="false" ht="15.75" hidden="false" customHeight="false" outlineLevel="0" collapsed="false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 customFormat="false" ht="15.75" hidden="false" customHeight="false" outlineLevel="0" collapsed="false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 customFormat="false" ht="15.75" hidden="false" customHeight="false" outlineLevel="0" collapsed="false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 customFormat="false" ht="15.75" hidden="false" customHeight="false" outlineLevel="0" collapsed="false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 customFormat="false" ht="15.75" hidden="false" customHeight="false" outlineLevel="0" collapsed="false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 customFormat="false" ht="15.75" hidden="false" customHeight="false" outlineLevel="0" collapsed="false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 customFormat="false" ht="15.75" hidden="false" customHeight="false" outlineLevel="0" collapsed="false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 customFormat="false" ht="15.75" hidden="false" customHeight="false" outlineLevel="0" collapsed="false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 customFormat="false" ht="15.75" hidden="false" customHeight="false" outlineLevel="0" collapsed="false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 customFormat="false" ht="15.75" hidden="false" customHeight="false" outlineLevel="0" collapsed="false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 customFormat="false" ht="15.75" hidden="false" customHeight="false" outlineLevel="0" collapsed="false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 customFormat="false" ht="15.75" hidden="false" customHeight="false" outlineLevel="0" collapsed="false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 customFormat="false" ht="15.75" hidden="false" customHeight="false" outlineLevel="0" collapsed="false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 customFormat="false" ht="15.75" hidden="false" customHeight="false" outlineLevel="0" collapsed="false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 customFormat="false" ht="15.75" hidden="false" customHeight="false" outlineLevel="0" collapsed="false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 customFormat="false" ht="15.75" hidden="false" customHeight="false" outlineLevel="0" collapsed="false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customFormat="false" ht="15.75" hidden="false" customHeight="false" outlineLevel="0" collapsed="false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customFormat="false" ht="15.75" hidden="false" customHeight="false" outlineLevel="0" collapsed="false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 customFormat="false" ht="15.75" hidden="false" customHeight="false" outlineLevel="0" collapsed="false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 customFormat="false" ht="15.75" hidden="false" customHeight="false" outlineLevel="0" collapsed="false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 customFormat="false" ht="15.75" hidden="false" customHeight="false" outlineLevel="0" collapsed="false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 customFormat="false" ht="15.75" hidden="false" customHeight="false" outlineLevel="0" collapsed="false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 customFormat="false" ht="15.75" hidden="false" customHeight="false" outlineLevel="0" collapsed="false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 customFormat="false" ht="15.75" hidden="false" customHeight="false" outlineLevel="0" collapsed="false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 customFormat="false" ht="15.75" hidden="false" customHeight="false" outlineLevel="0" collapsed="false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 customFormat="false" ht="15.75" hidden="false" customHeight="false" outlineLevel="0" collapsed="false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 customFormat="false" ht="15.75" hidden="false" customHeight="false" outlineLevel="0" collapsed="false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 customFormat="false" ht="15.75" hidden="false" customHeight="false" outlineLevel="0" collapsed="false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 customFormat="false" ht="15.75" hidden="false" customHeight="false" outlineLevel="0" collapsed="false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 customFormat="false" ht="15.75" hidden="false" customHeight="false" outlineLevel="0" collapsed="false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 customFormat="false" ht="15.75" hidden="false" customHeight="false" outlineLevel="0" collapsed="false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 customFormat="false" ht="15.75" hidden="false" customHeight="false" outlineLevel="0" collapsed="false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 customFormat="false" ht="15.75" hidden="false" customHeight="false" outlineLevel="0" collapsed="false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 customFormat="false" ht="15.75" hidden="false" customHeight="false" outlineLevel="0" collapsed="false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 customFormat="false" ht="15.75" hidden="false" customHeight="false" outlineLevel="0" collapsed="false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 customFormat="false" ht="15.75" hidden="false" customHeight="false" outlineLevel="0" collapsed="false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 customFormat="false" ht="15.75" hidden="false" customHeight="false" outlineLevel="0" collapsed="false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 customFormat="false" ht="15.75" hidden="false" customHeight="false" outlineLevel="0" collapsed="false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 customFormat="false" ht="15.75" hidden="false" customHeight="false" outlineLevel="0" collapsed="false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 customFormat="false" ht="15.75" hidden="false" customHeight="false" outlineLevel="0" collapsed="false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 customFormat="false" ht="15.75" hidden="false" customHeight="false" outlineLevel="0" collapsed="false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 customFormat="false" ht="15.75" hidden="false" customHeight="false" outlineLevel="0" collapsed="false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 customFormat="false" ht="15.75" hidden="false" customHeight="false" outlineLevel="0" collapsed="false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 customFormat="false" ht="15.75" hidden="false" customHeight="false" outlineLevel="0" collapsed="false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 customFormat="false" ht="15.75" hidden="false" customHeight="false" outlineLevel="0" collapsed="false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 customFormat="false" ht="15.75" hidden="false" customHeight="false" outlineLevel="0" collapsed="false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 customFormat="false" ht="15.75" hidden="false" customHeight="false" outlineLevel="0" collapsed="false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 customFormat="false" ht="15.75" hidden="false" customHeight="false" outlineLevel="0" collapsed="false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 customFormat="false" ht="15.75" hidden="false" customHeight="false" outlineLevel="0" collapsed="false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 customFormat="false" ht="15.75" hidden="false" customHeight="false" outlineLevel="0" collapsed="false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 customFormat="false" ht="15.75" hidden="false" customHeight="false" outlineLevel="0" collapsed="false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customFormat="false" ht="15.75" hidden="false" customHeight="false" outlineLevel="0" collapsed="false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customFormat="false" ht="15.75" hidden="false" customHeight="false" outlineLevel="0" collapsed="false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 customFormat="false" ht="15.75" hidden="false" customHeight="false" outlineLevel="0" collapsed="false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 customFormat="false" ht="15.75" hidden="false" customHeight="false" outlineLevel="0" collapsed="false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 customFormat="false" ht="15.75" hidden="false" customHeight="false" outlineLevel="0" collapsed="false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 customFormat="false" ht="15.75" hidden="false" customHeight="false" outlineLevel="0" collapsed="false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 customFormat="false" ht="15.75" hidden="false" customHeight="false" outlineLevel="0" collapsed="false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 customFormat="false" ht="15.75" hidden="false" customHeight="false" outlineLevel="0" collapsed="false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 customFormat="false" ht="15.75" hidden="false" customHeight="false" outlineLevel="0" collapsed="false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 customFormat="false" ht="15.75" hidden="false" customHeight="false" outlineLevel="0" collapsed="false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 customFormat="false" ht="15.75" hidden="false" customHeight="false" outlineLevel="0" collapsed="false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 customFormat="false" ht="15.75" hidden="false" customHeight="false" outlineLevel="0" collapsed="false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 customFormat="false" ht="15.75" hidden="false" customHeight="false" outlineLevel="0" collapsed="false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 customFormat="false" ht="15.75" hidden="false" customHeight="false" outlineLevel="0" collapsed="false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 customFormat="false" ht="15.75" hidden="false" customHeight="false" outlineLevel="0" collapsed="false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 customFormat="false" ht="15.75" hidden="false" customHeight="false" outlineLevel="0" collapsed="false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 customFormat="false" ht="15.75" hidden="false" customHeight="false" outlineLevel="0" collapsed="false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 customFormat="false" ht="15.75" hidden="false" customHeight="false" outlineLevel="0" collapsed="false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 customFormat="false" ht="15.75" hidden="false" customHeight="false" outlineLevel="0" collapsed="false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 customFormat="false" ht="15.75" hidden="false" customHeight="false" outlineLevel="0" collapsed="false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 customFormat="false" ht="15.75" hidden="false" customHeight="false" outlineLevel="0" collapsed="false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 customFormat="false" ht="15.75" hidden="false" customHeight="false" outlineLevel="0" collapsed="false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 customFormat="false" ht="15.75" hidden="false" customHeight="false" outlineLevel="0" collapsed="false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 customFormat="false" ht="15.75" hidden="false" customHeight="false" outlineLevel="0" collapsed="false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 customFormat="false" ht="15.75" hidden="false" customHeight="false" outlineLevel="0" collapsed="false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 customFormat="false" ht="15.75" hidden="false" customHeight="false" outlineLevel="0" collapsed="false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 customFormat="false" ht="15.75" hidden="false" customHeight="false" outlineLevel="0" collapsed="false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 customFormat="false" ht="15.75" hidden="false" customHeight="false" outlineLevel="0" collapsed="false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 customFormat="false" ht="15.75" hidden="false" customHeight="false" outlineLevel="0" collapsed="false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 customFormat="false" ht="15.75" hidden="false" customHeight="false" outlineLevel="0" collapsed="false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 customFormat="false" ht="15.75" hidden="false" customHeight="false" outlineLevel="0" collapsed="false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 customFormat="false" ht="15.75" hidden="false" customHeight="false" outlineLevel="0" collapsed="false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 customFormat="false" ht="15.75" hidden="false" customHeight="false" outlineLevel="0" collapsed="false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 customFormat="false" ht="15.75" hidden="false" customHeight="false" outlineLevel="0" collapsed="false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 customFormat="false" ht="15.75" hidden="false" customHeight="false" outlineLevel="0" collapsed="false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customFormat="false" ht="15.75" hidden="false" customHeight="false" outlineLevel="0" collapsed="false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customFormat="false" ht="15.75" hidden="false" customHeight="false" outlineLevel="0" collapsed="false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 customFormat="false" ht="15.75" hidden="false" customHeight="false" outlineLevel="0" collapsed="false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 customFormat="false" ht="15.75" hidden="false" customHeight="false" outlineLevel="0" collapsed="false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 customFormat="false" ht="15.75" hidden="false" customHeight="false" outlineLevel="0" collapsed="false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 customFormat="false" ht="15.75" hidden="false" customHeight="false" outlineLevel="0" collapsed="false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 customFormat="false" ht="15.75" hidden="false" customHeight="false" outlineLevel="0" collapsed="false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 customFormat="false" ht="15.75" hidden="false" customHeight="false" outlineLevel="0" collapsed="false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 customFormat="false" ht="15.75" hidden="false" customHeight="false" outlineLevel="0" collapsed="false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 customFormat="false" ht="15.75" hidden="false" customHeight="false" outlineLevel="0" collapsed="false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 customFormat="false" ht="15.75" hidden="false" customHeight="false" outlineLevel="0" collapsed="false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 customFormat="false" ht="15.75" hidden="false" customHeight="false" outlineLevel="0" collapsed="false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 customFormat="false" ht="15.75" hidden="false" customHeight="false" outlineLevel="0" collapsed="false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 customFormat="false" ht="15.75" hidden="false" customHeight="false" outlineLevel="0" collapsed="false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 customFormat="false" ht="15.75" hidden="false" customHeight="false" outlineLevel="0" collapsed="false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 customFormat="false" ht="15.75" hidden="false" customHeight="false" outlineLevel="0" collapsed="false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 customFormat="false" ht="15.75" hidden="false" customHeight="false" outlineLevel="0" collapsed="false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 customFormat="false" ht="15.75" hidden="false" customHeight="false" outlineLevel="0" collapsed="false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 customFormat="false" ht="15.75" hidden="false" customHeight="false" outlineLevel="0" collapsed="false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 customFormat="false" ht="15.75" hidden="false" customHeight="false" outlineLevel="0" collapsed="false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 customFormat="false" ht="15.75" hidden="false" customHeight="false" outlineLevel="0" collapsed="false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 customFormat="false" ht="15.75" hidden="false" customHeight="false" outlineLevel="0" collapsed="false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 customFormat="false" ht="15.75" hidden="false" customHeight="false" outlineLevel="0" collapsed="false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 customFormat="false" ht="15.75" hidden="false" customHeight="false" outlineLevel="0" collapsed="false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 customFormat="false" ht="15.75" hidden="false" customHeight="false" outlineLevel="0" collapsed="false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 customFormat="false" ht="15.75" hidden="false" customHeight="false" outlineLevel="0" collapsed="false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 customFormat="false" ht="15.75" hidden="false" customHeight="false" outlineLevel="0" collapsed="false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 customFormat="false" ht="15.75" hidden="false" customHeight="false" outlineLevel="0" collapsed="false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 customFormat="false" ht="15.75" hidden="false" customHeight="false" outlineLevel="0" collapsed="false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 customFormat="false" ht="15.75" hidden="false" customHeight="false" outlineLevel="0" collapsed="false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 customFormat="false" ht="15.75" hidden="false" customHeight="false" outlineLevel="0" collapsed="false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 customFormat="false" ht="15.75" hidden="false" customHeight="false" outlineLevel="0" collapsed="false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 customFormat="false" ht="15.75" hidden="false" customHeight="false" outlineLevel="0" collapsed="false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 customFormat="false" ht="15.75" hidden="false" customHeight="false" outlineLevel="0" collapsed="false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 customFormat="false" ht="15.75" hidden="false" customHeight="false" outlineLevel="0" collapsed="false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customFormat="false" ht="15.75" hidden="false" customHeight="false" outlineLevel="0" collapsed="false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customFormat="false" ht="15.75" hidden="false" customHeight="false" outlineLevel="0" collapsed="false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 customFormat="false" ht="15.75" hidden="false" customHeight="false" outlineLevel="0" collapsed="false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 customFormat="false" ht="15.75" hidden="false" customHeight="false" outlineLevel="0" collapsed="false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 customFormat="false" ht="15.75" hidden="false" customHeight="false" outlineLevel="0" collapsed="false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 customFormat="false" ht="15.75" hidden="false" customHeight="false" outlineLevel="0" collapsed="false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 customFormat="false" ht="15.75" hidden="false" customHeight="false" outlineLevel="0" collapsed="false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 customFormat="false" ht="15.75" hidden="false" customHeight="false" outlineLevel="0" collapsed="false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 customFormat="false" ht="15.75" hidden="false" customHeight="false" outlineLevel="0" collapsed="false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 customFormat="false" ht="15.75" hidden="false" customHeight="false" outlineLevel="0" collapsed="false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 customFormat="false" ht="15.75" hidden="false" customHeight="false" outlineLevel="0" collapsed="false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 customFormat="false" ht="15.75" hidden="false" customHeight="false" outlineLevel="0" collapsed="false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 customFormat="false" ht="15.75" hidden="false" customHeight="false" outlineLevel="0" collapsed="false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 customFormat="false" ht="15.75" hidden="false" customHeight="false" outlineLevel="0" collapsed="false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 customFormat="false" ht="15.75" hidden="false" customHeight="false" outlineLevel="0" collapsed="false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 customFormat="false" ht="15.75" hidden="false" customHeight="false" outlineLevel="0" collapsed="false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 customFormat="false" ht="15.75" hidden="false" customHeight="false" outlineLevel="0" collapsed="false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 customFormat="false" ht="15.75" hidden="false" customHeight="false" outlineLevel="0" collapsed="false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 customFormat="false" ht="15.75" hidden="false" customHeight="false" outlineLevel="0" collapsed="false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 customFormat="false" ht="15.75" hidden="false" customHeight="false" outlineLevel="0" collapsed="false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 customFormat="false" ht="15.75" hidden="false" customHeight="false" outlineLevel="0" collapsed="false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 customFormat="false" ht="15.75" hidden="false" customHeight="false" outlineLevel="0" collapsed="false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 customFormat="false" ht="15.75" hidden="false" customHeight="false" outlineLevel="0" collapsed="false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 customFormat="false" ht="15.75" hidden="false" customHeight="false" outlineLevel="0" collapsed="false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 customFormat="false" ht="15.75" hidden="false" customHeight="false" outlineLevel="0" collapsed="false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 customFormat="false" ht="15.75" hidden="false" customHeight="false" outlineLevel="0" collapsed="false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 customFormat="false" ht="15.75" hidden="false" customHeight="false" outlineLevel="0" collapsed="false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 customFormat="false" ht="15.75" hidden="false" customHeight="false" outlineLevel="0" collapsed="false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 customFormat="false" ht="15.75" hidden="false" customHeight="false" outlineLevel="0" collapsed="false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 customFormat="false" ht="15.75" hidden="false" customHeight="false" outlineLevel="0" collapsed="false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 customFormat="false" ht="15.75" hidden="false" customHeight="false" outlineLevel="0" collapsed="false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 customFormat="false" ht="15.75" hidden="false" customHeight="false" outlineLevel="0" collapsed="false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 customFormat="false" ht="15.75" hidden="false" customHeight="false" outlineLevel="0" collapsed="false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 customFormat="false" ht="15.75" hidden="false" customHeight="false" outlineLevel="0" collapsed="false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 customFormat="false" ht="15.75" hidden="false" customHeight="false" outlineLevel="0" collapsed="false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customFormat="false" ht="15.75" hidden="false" customHeight="false" outlineLevel="0" collapsed="false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customFormat="false" ht="15.75" hidden="false" customHeight="false" outlineLevel="0" collapsed="false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 customFormat="false" ht="15.75" hidden="false" customHeight="false" outlineLevel="0" collapsed="false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 customFormat="false" ht="15.75" hidden="false" customHeight="false" outlineLevel="0" collapsed="false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 customFormat="false" ht="15.75" hidden="false" customHeight="false" outlineLevel="0" collapsed="false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 customFormat="false" ht="15.75" hidden="false" customHeight="false" outlineLevel="0" collapsed="false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 customFormat="false" ht="15.75" hidden="false" customHeight="false" outlineLevel="0" collapsed="false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 customFormat="false" ht="15.75" hidden="false" customHeight="false" outlineLevel="0" collapsed="false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 customFormat="false" ht="15.75" hidden="false" customHeight="false" outlineLevel="0" collapsed="false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 customFormat="false" ht="15.75" hidden="false" customHeight="false" outlineLevel="0" collapsed="false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 customFormat="false" ht="15.75" hidden="false" customHeight="false" outlineLevel="0" collapsed="false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 customFormat="false" ht="15.75" hidden="false" customHeight="false" outlineLevel="0" collapsed="false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 customFormat="false" ht="15.75" hidden="false" customHeight="false" outlineLevel="0" collapsed="false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 customFormat="false" ht="15.75" hidden="false" customHeight="false" outlineLevel="0" collapsed="false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 customFormat="false" ht="15.75" hidden="false" customHeight="false" outlineLevel="0" collapsed="false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 customFormat="false" ht="15.75" hidden="false" customHeight="false" outlineLevel="0" collapsed="false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 customFormat="false" ht="15.75" hidden="false" customHeight="false" outlineLevel="0" collapsed="false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 customFormat="false" ht="15.75" hidden="false" customHeight="false" outlineLevel="0" collapsed="false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 customFormat="false" ht="15.75" hidden="false" customHeight="false" outlineLevel="0" collapsed="false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 customFormat="false" ht="15.75" hidden="false" customHeight="false" outlineLevel="0" collapsed="false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 customFormat="false" ht="15.75" hidden="false" customHeight="false" outlineLevel="0" collapsed="false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  <row r="999" customFormat="false" ht="15.75" hidden="false" customHeight="false" outlineLevel="0" collapsed="false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</row>
    <row r="1000" customFormat="false" ht="15.75" hidden="false" customHeight="false" outlineLevel="0" collapsed="false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</row>
    <row r="1001" customFormat="false" ht="15.75" hidden="false" customHeight="false" outlineLevel="0" collapsed="false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</row>
    <row r="1002" customFormat="false" ht="15.75" hidden="false" customHeight="false" outlineLevel="0" collapsed="false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</row>
    <row r="1003" customFormat="false" ht="15.75" hidden="false" customHeight="false" outlineLevel="0" collapsed="false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</row>
    <row r="1004" customFormat="false" ht="15.75" hidden="false" customHeight="false" outlineLevel="0" collapsed="false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true"/>
  </sheetPr>
  <dimension ref="A1:AH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38.25"/>
    <col collapsed="false" customWidth="true" hidden="false" outlineLevel="0" max="8" min="8" style="1" width="15.13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23.63"/>
    <col collapsed="false" customWidth="true" hidden="false" outlineLevel="0" max="15" min="15" style="1" width="64.89"/>
  </cols>
  <sheetData>
    <row r="1" customFormat="false" ht="22.5" hidden="false" customHeight="true" outlineLevel="0" collapsed="false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3" t="s">
        <v>13</v>
      </c>
      <c r="O1" s="51" t="s">
        <v>14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customFormat="false" ht="22.5" hidden="false" customHeight="true" outlineLevel="0" collapsed="false">
      <c r="A2" s="55" t="n">
        <v>45719</v>
      </c>
      <c r="B2" s="44" t="n">
        <v>5</v>
      </c>
      <c r="C2" s="56" t="s">
        <v>101</v>
      </c>
      <c r="D2" s="56" t="s">
        <v>16</v>
      </c>
      <c r="E2" s="56" t="s">
        <v>17</v>
      </c>
      <c r="F2" s="32" t="s">
        <v>448</v>
      </c>
      <c r="G2" s="56" t="s">
        <v>19</v>
      </c>
      <c r="H2" s="56" t="s">
        <v>449</v>
      </c>
      <c r="I2" s="56" t="s">
        <v>21</v>
      </c>
      <c r="J2" s="57" t="n">
        <v>45719</v>
      </c>
      <c r="K2" s="58" t="n">
        <v>1</v>
      </c>
      <c r="L2" s="59" t="n">
        <v>0.0965277777777778</v>
      </c>
      <c r="M2" s="31" t="s">
        <v>450</v>
      </c>
      <c r="N2" s="60"/>
      <c r="O2" s="56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customFormat="false" ht="22.5" hidden="false" customHeight="true" outlineLevel="0" collapsed="false">
      <c r="A3" s="57" t="n">
        <v>45719</v>
      </c>
      <c r="B3" s="44" t="n">
        <v>5</v>
      </c>
      <c r="C3" s="56" t="s">
        <v>101</v>
      </c>
      <c r="D3" s="56" t="s">
        <v>16</v>
      </c>
      <c r="E3" s="56" t="s">
        <v>17</v>
      </c>
      <c r="F3" s="60" t="s">
        <v>451</v>
      </c>
      <c r="G3" s="56" t="s">
        <v>19</v>
      </c>
      <c r="H3" s="56" t="s">
        <v>24</v>
      </c>
      <c r="I3" s="56" t="s">
        <v>21</v>
      </c>
      <c r="J3" s="57" t="n">
        <v>45719</v>
      </c>
      <c r="K3" s="58" t="n">
        <v>0</v>
      </c>
      <c r="L3" s="59" t="n">
        <v>0</v>
      </c>
      <c r="M3" s="61" t="s">
        <v>452</v>
      </c>
      <c r="N3" s="60"/>
      <c r="O3" s="56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customFormat="false" ht="22.5" hidden="false" customHeight="true" outlineLevel="0" collapsed="false">
      <c r="A4" s="57" t="n">
        <v>45719</v>
      </c>
      <c r="B4" s="44" t="n">
        <v>5</v>
      </c>
      <c r="C4" s="56" t="s">
        <v>101</v>
      </c>
      <c r="D4" s="56" t="s">
        <v>16</v>
      </c>
      <c r="E4" s="56" t="s">
        <v>17</v>
      </c>
      <c r="F4" s="60" t="s">
        <v>453</v>
      </c>
      <c r="G4" s="56" t="s">
        <v>19</v>
      </c>
      <c r="H4" s="56" t="s">
        <v>24</v>
      </c>
      <c r="I4" s="56" t="s">
        <v>21</v>
      </c>
      <c r="J4" s="57" t="n">
        <v>45719</v>
      </c>
      <c r="K4" s="58" t="n">
        <v>0</v>
      </c>
      <c r="L4" s="59" t="n">
        <v>0</v>
      </c>
      <c r="M4" s="61" t="s">
        <v>454</v>
      </c>
      <c r="N4" s="60"/>
      <c r="O4" s="56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customFormat="false" ht="22.5" hidden="false" customHeight="true" outlineLevel="0" collapsed="false">
      <c r="A5" s="57" t="n">
        <v>45719</v>
      </c>
      <c r="B5" s="44" t="n">
        <v>5</v>
      </c>
      <c r="C5" s="56" t="s">
        <v>101</v>
      </c>
      <c r="D5" s="56" t="s">
        <v>72</v>
      </c>
      <c r="E5" s="56" t="s">
        <v>17</v>
      </c>
      <c r="F5" s="60" t="s">
        <v>455</v>
      </c>
      <c r="G5" s="56" t="s">
        <v>19</v>
      </c>
      <c r="H5" s="56" t="s">
        <v>95</v>
      </c>
      <c r="I5" s="56" t="s">
        <v>21</v>
      </c>
      <c r="J5" s="57" t="n">
        <v>45719</v>
      </c>
      <c r="K5" s="58" t="n">
        <v>2</v>
      </c>
      <c r="L5" s="59" t="n">
        <v>0.0888888888888889</v>
      </c>
      <c r="M5" s="61" t="s">
        <v>456</v>
      </c>
      <c r="N5" s="60"/>
      <c r="O5" s="56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</row>
    <row r="6" customFormat="false" ht="22.5" hidden="false" customHeight="true" outlineLevel="0" collapsed="false">
      <c r="A6" s="57" t="n">
        <v>45719</v>
      </c>
      <c r="B6" s="1" t="n">
        <v>5</v>
      </c>
      <c r="C6" s="56" t="s">
        <v>101</v>
      </c>
      <c r="D6" s="56" t="s">
        <v>16</v>
      </c>
      <c r="E6" s="56" t="s">
        <v>17</v>
      </c>
      <c r="F6" s="60" t="s">
        <v>457</v>
      </c>
      <c r="G6" s="56" t="s">
        <v>19</v>
      </c>
      <c r="H6" s="56" t="s">
        <v>449</v>
      </c>
      <c r="I6" s="56" t="s">
        <v>21</v>
      </c>
      <c r="J6" s="57" t="n">
        <v>45719</v>
      </c>
      <c r="K6" s="58" t="n">
        <v>2</v>
      </c>
      <c r="L6" s="59" t="n">
        <v>0.0381944444444445</v>
      </c>
      <c r="M6" s="61" t="s">
        <v>458</v>
      </c>
      <c r="N6" s="60"/>
      <c r="O6" s="56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customFormat="false" ht="22.5" hidden="false" customHeight="true" outlineLevel="0" collapsed="false">
      <c r="A7" s="57" t="n">
        <v>45719</v>
      </c>
      <c r="B7" s="44" t="n">
        <v>5</v>
      </c>
      <c r="C7" s="56" t="s">
        <v>101</v>
      </c>
      <c r="D7" s="56" t="s">
        <v>145</v>
      </c>
      <c r="E7" s="56" t="s">
        <v>139</v>
      </c>
      <c r="F7" s="60" t="s">
        <v>459</v>
      </c>
      <c r="G7" s="56" t="s">
        <v>48</v>
      </c>
      <c r="H7" s="56" t="s">
        <v>141</v>
      </c>
      <c r="I7" s="56" t="s">
        <v>21</v>
      </c>
      <c r="J7" s="57" t="n">
        <v>45719</v>
      </c>
      <c r="K7" s="56" t="n">
        <v>0.5</v>
      </c>
      <c r="L7" s="59" t="n">
        <v>0.00833333333333333</v>
      </c>
      <c r="M7" s="31" t="s">
        <v>460</v>
      </c>
      <c r="N7" s="60"/>
      <c r="O7" s="56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customFormat="false" ht="22.5" hidden="false" customHeight="true" outlineLevel="0" collapsed="false">
      <c r="A8" s="57" t="n">
        <v>45720</v>
      </c>
      <c r="B8" s="44" t="n">
        <v>5</v>
      </c>
      <c r="C8" s="56" t="s">
        <v>41</v>
      </c>
      <c r="D8" s="56" t="s">
        <v>167</v>
      </c>
      <c r="E8" s="56" t="s">
        <v>17</v>
      </c>
      <c r="F8" s="60" t="s">
        <v>461</v>
      </c>
      <c r="G8" s="56" t="s">
        <v>77</v>
      </c>
      <c r="H8" s="56" t="s">
        <v>53</v>
      </c>
      <c r="I8" s="56" t="s">
        <v>21</v>
      </c>
      <c r="J8" s="57" t="n">
        <v>45722</v>
      </c>
      <c r="K8" s="56" t="n">
        <v>2</v>
      </c>
      <c r="L8" s="59" t="n">
        <v>0.325</v>
      </c>
      <c r="M8" s="31" t="s">
        <v>462</v>
      </c>
      <c r="N8" s="60"/>
      <c r="O8" s="56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customFormat="false" ht="22.5" hidden="false" customHeight="true" outlineLevel="0" collapsed="false">
      <c r="A9" s="57" t="n">
        <v>45720</v>
      </c>
      <c r="B9" s="44" t="n">
        <v>5</v>
      </c>
      <c r="C9" s="56" t="s">
        <v>41</v>
      </c>
      <c r="D9" s="56" t="s">
        <v>167</v>
      </c>
      <c r="E9" s="56" t="s">
        <v>17</v>
      </c>
      <c r="F9" s="64" t="s">
        <v>463</v>
      </c>
      <c r="G9" s="56" t="s">
        <v>77</v>
      </c>
      <c r="H9" s="56" t="s">
        <v>20</v>
      </c>
      <c r="I9" s="56" t="s">
        <v>21</v>
      </c>
      <c r="J9" s="57" t="n">
        <v>45720</v>
      </c>
      <c r="K9" s="56" t="n">
        <v>1</v>
      </c>
      <c r="L9" s="59" t="n">
        <v>0.025</v>
      </c>
      <c r="M9" s="31" t="s">
        <v>464</v>
      </c>
      <c r="N9" s="60"/>
      <c r="O9" s="56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customFormat="false" ht="22.5" hidden="false" customHeight="true" outlineLevel="0" collapsed="false">
      <c r="A10" s="57" t="n">
        <v>45720</v>
      </c>
      <c r="B10" s="1" t="n">
        <v>5</v>
      </c>
      <c r="C10" s="56" t="s">
        <v>41</v>
      </c>
      <c r="D10" s="56" t="s">
        <v>72</v>
      </c>
      <c r="E10" s="56" t="s">
        <v>17</v>
      </c>
      <c r="F10" s="60" t="s">
        <v>465</v>
      </c>
      <c r="G10" s="56" t="s">
        <v>19</v>
      </c>
      <c r="H10" s="56" t="s">
        <v>449</v>
      </c>
      <c r="I10" s="56" t="s">
        <v>21</v>
      </c>
      <c r="J10" s="57" t="n">
        <v>45721</v>
      </c>
      <c r="K10" s="56" t="n">
        <v>1</v>
      </c>
      <c r="L10" s="59" t="n">
        <v>0.0902777777777778</v>
      </c>
      <c r="M10" s="31" t="s">
        <v>466</v>
      </c>
      <c r="N10" s="60"/>
      <c r="O10" s="56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 customFormat="false" ht="22.5" hidden="false" customHeight="true" outlineLevel="0" collapsed="false">
      <c r="A11" s="57" t="n">
        <v>45720</v>
      </c>
      <c r="B11" s="1" t="n">
        <v>5</v>
      </c>
      <c r="C11" s="56" t="s">
        <v>41</v>
      </c>
      <c r="D11" s="56" t="s">
        <v>72</v>
      </c>
      <c r="E11" s="56" t="s">
        <v>17</v>
      </c>
      <c r="F11" s="60" t="s">
        <v>467</v>
      </c>
      <c r="G11" s="56" t="s">
        <v>48</v>
      </c>
      <c r="H11" s="56" t="s">
        <v>20</v>
      </c>
      <c r="I11" s="56" t="s">
        <v>21</v>
      </c>
      <c r="J11" s="57" t="n">
        <v>45721</v>
      </c>
      <c r="K11" s="56" t="n">
        <v>2</v>
      </c>
      <c r="L11" s="59" t="n">
        <v>0.0527777777777778</v>
      </c>
      <c r="M11" s="61" t="s">
        <v>468</v>
      </c>
      <c r="N11" s="60"/>
      <c r="O11" s="56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 customFormat="false" ht="22.5" hidden="false" customHeight="true" outlineLevel="0" collapsed="false">
      <c r="A12" s="57" t="n">
        <v>45720</v>
      </c>
      <c r="B12" s="1" t="n">
        <v>5</v>
      </c>
      <c r="C12" s="56" t="s">
        <v>41</v>
      </c>
      <c r="D12" s="56" t="s">
        <v>145</v>
      </c>
      <c r="E12" s="56" t="s">
        <v>139</v>
      </c>
      <c r="F12" s="60" t="s">
        <v>469</v>
      </c>
      <c r="G12" s="56" t="s">
        <v>19</v>
      </c>
      <c r="H12" s="56" t="s">
        <v>141</v>
      </c>
      <c r="I12" s="56" t="s">
        <v>21</v>
      </c>
      <c r="J12" s="57" t="n">
        <v>45721</v>
      </c>
      <c r="K12" s="56" t="n">
        <v>3</v>
      </c>
      <c r="L12" s="59" t="n">
        <v>0.290277777777778</v>
      </c>
      <c r="M12" s="31" t="s">
        <v>470</v>
      </c>
      <c r="N12" s="60"/>
      <c r="O12" s="56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</row>
    <row r="13" customFormat="false" ht="22.5" hidden="false" customHeight="true" outlineLevel="0" collapsed="false">
      <c r="A13" s="57" t="n">
        <v>45721</v>
      </c>
      <c r="B13" s="1" t="n">
        <v>5</v>
      </c>
      <c r="C13" s="56" t="s">
        <v>60</v>
      </c>
      <c r="D13" s="56" t="s">
        <v>145</v>
      </c>
      <c r="E13" s="56" t="s">
        <v>139</v>
      </c>
      <c r="F13" s="60" t="s">
        <v>471</v>
      </c>
      <c r="G13" s="56" t="s">
        <v>48</v>
      </c>
      <c r="H13" s="56" t="s">
        <v>141</v>
      </c>
      <c r="I13" s="56" t="s">
        <v>21</v>
      </c>
      <c r="J13" s="57" t="n">
        <v>45721</v>
      </c>
      <c r="K13" s="56" t="n">
        <v>0.5</v>
      </c>
      <c r="L13" s="59" t="n">
        <v>0.00555555555555556</v>
      </c>
      <c r="M13" s="61" t="s">
        <v>472</v>
      </c>
      <c r="N13" s="60"/>
      <c r="O13" s="56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</row>
    <row r="14" customFormat="false" ht="22.5" hidden="false" customHeight="true" outlineLevel="0" collapsed="false">
      <c r="A14" s="57" t="n">
        <v>45721</v>
      </c>
      <c r="B14" s="1" t="n">
        <v>5</v>
      </c>
      <c r="C14" s="56" t="s">
        <v>60</v>
      </c>
      <c r="D14" s="56" t="s">
        <v>85</v>
      </c>
      <c r="E14" s="56" t="s">
        <v>17</v>
      </c>
      <c r="F14" s="60" t="s">
        <v>473</v>
      </c>
      <c r="G14" s="56" t="s">
        <v>48</v>
      </c>
      <c r="H14" s="56" t="s">
        <v>87</v>
      </c>
      <c r="I14" s="56" t="s">
        <v>21</v>
      </c>
      <c r="J14" s="57" t="n">
        <v>45729</v>
      </c>
      <c r="K14" s="56" t="n">
        <v>2</v>
      </c>
      <c r="L14" s="59" t="n">
        <v>0.197916666666667</v>
      </c>
      <c r="M14" s="61" t="s">
        <v>474</v>
      </c>
      <c r="N14" s="60"/>
      <c r="O14" s="56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customFormat="false" ht="22.5" hidden="false" customHeight="true" outlineLevel="0" collapsed="false">
      <c r="A15" s="57" t="n">
        <v>45721</v>
      </c>
      <c r="B15" s="1" t="n">
        <v>5</v>
      </c>
      <c r="C15" s="56" t="s">
        <v>60</v>
      </c>
      <c r="D15" s="56" t="s">
        <v>16</v>
      </c>
      <c r="E15" s="56" t="s">
        <v>17</v>
      </c>
      <c r="F15" s="60" t="s">
        <v>475</v>
      </c>
      <c r="G15" s="56" t="s">
        <v>19</v>
      </c>
      <c r="H15" s="56" t="s">
        <v>449</v>
      </c>
      <c r="I15" s="56" t="s">
        <v>21</v>
      </c>
      <c r="J15" s="57" t="n">
        <v>45721</v>
      </c>
      <c r="K15" s="56" t="n">
        <v>2</v>
      </c>
      <c r="L15" s="59" t="n">
        <v>0.0770833333333333</v>
      </c>
      <c r="M15" s="61" t="s">
        <v>476</v>
      </c>
      <c r="N15" s="60"/>
      <c r="O15" s="56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 customFormat="false" ht="22.5" hidden="false" customHeight="true" outlineLevel="0" collapsed="false">
      <c r="A16" s="57" t="n">
        <v>45722</v>
      </c>
      <c r="B16" s="1" t="n">
        <v>5</v>
      </c>
      <c r="C16" s="56" t="str">
        <f aca="false">IF(ISBLANK(A16), "--", PROPER(TEXT(A16, "dddd")))</f>
        <v>Thursday</v>
      </c>
      <c r="D16" s="56" t="s">
        <v>145</v>
      </c>
      <c r="E16" s="56" t="s">
        <v>139</v>
      </c>
      <c r="F16" s="60" t="s">
        <v>477</v>
      </c>
      <c r="G16" s="56" t="s">
        <v>179</v>
      </c>
      <c r="H16" s="56" t="s">
        <v>141</v>
      </c>
      <c r="I16" s="56" t="s">
        <v>21</v>
      </c>
      <c r="J16" s="57" t="n">
        <v>45722</v>
      </c>
      <c r="K16" s="56" t="n">
        <v>0.5</v>
      </c>
      <c r="L16" s="59" t="n">
        <v>0.0416666666666667</v>
      </c>
      <c r="M16" s="61" t="s">
        <v>478</v>
      </c>
      <c r="N16" s="60"/>
      <c r="O16" s="56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 customFormat="false" ht="22.5" hidden="false" customHeight="true" outlineLevel="0" collapsed="false">
      <c r="A17" s="57" t="n">
        <v>45722</v>
      </c>
      <c r="B17" s="1" t="n">
        <v>5</v>
      </c>
      <c r="C17" s="56" t="str">
        <f aca="false">IF(ISBLANK(A17), "--", PROPER(TEXT(A17, "dddd")))</f>
        <v>Thursday</v>
      </c>
      <c r="D17" s="56" t="s">
        <v>145</v>
      </c>
      <c r="E17" s="56" t="s">
        <v>139</v>
      </c>
      <c r="F17" s="60" t="s">
        <v>479</v>
      </c>
      <c r="G17" s="56" t="s">
        <v>48</v>
      </c>
      <c r="H17" s="56" t="s">
        <v>141</v>
      </c>
      <c r="I17" s="56" t="s">
        <v>21</v>
      </c>
      <c r="J17" s="57" t="n">
        <v>45722</v>
      </c>
      <c r="K17" s="56" t="n">
        <v>0.5</v>
      </c>
      <c r="L17" s="59" t="n">
        <v>0.0416666666666667</v>
      </c>
      <c r="M17" s="61" t="s">
        <v>480</v>
      </c>
      <c r="N17" s="60"/>
      <c r="O17" s="56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 customFormat="false" ht="22.5" hidden="false" customHeight="true" outlineLevel="0" collapsed="false">
      <c r="A18" s="57" t="n">
        <v>45722</v>
      </c>
      <c r="B18" s="1" t="n">
        <v>5</v>
      </c>
      <c r="C18" s="56" t="str">
        <f aca="false">IF(ISBLANK(A18), "--", PROPER(TEXT(A18, "dddd")))</f>
        <v>Thursday</v>
      </c>
      <c r="D18" s="56" t="s">
        <v>145</v>
      </c>
      <c r="E18" s="56" t="s">
        <v>139</v>
      </c>
      <c r="F18" s="60" t="s">
        <v>481</v>
      </c>
      <c r="G18" s="56" t="s">
        <v>179</v>
      </c>
      <c r="H18" s="56" t="s">
        <v>141</v>
      </c>
      <c r="I18" s="56" t="s">
        <v>21</v>
      </c>
      <c r="J18" s="57" t="n">
        <v>45722</v>
      </c>
      <c r="K18" s="56" t="n">
        <v>2</v>
      </c>
      <c r="L18" s="59" t="n">
        <v>0.140277777777778</v>
      </c>
      <c r="M18" s="61" t="s">
        <v>482</v>
      </c>
      <c r="N18" s="60"/>
      <c r="O18" s="56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 customFormat="false" ht="22.5" hidden="false" customHeight="true" outlineLevel="0" collapsed="false">
      <c r="A19" s="57" t="n">
        <v>45722</v>
      </c>
      <c r="B19" s="1" t="n">
        <v>5</v>
      </c>
      <c r="C19" s="56" t="str">
        <f aca="false">IF(ISBLANK(A19), "--", PROPER(TEXT(A19, "dddd")))</f>
        <v>Thursday</v>
      </c>
      <c r="D19" s="56" t="s">
        <v>145</v>
      </c>
      <c r="E19" s="56" t="s">
        <v>139</v>
      </c>
      <c r="F19" s="60" t="s">
        <v>483</v>
      </c>
      <c r="G19" s="56" t="s">
        <v>48</v>
      </c>
      <c r="H19" s="56" t="s">
        <v>141</v>
      </c>
      <c r="I19" s="56" t="s">
        <v>21</v>
      </c>
      <c r="J19" s="57" t="n">
        <v>45723</v>
      </c>
      <c r="K19" s="56" t="n">
        <v>2</v>
      </c>
      <c r="L19" s="59" t="n">
        <v>0.134027777777778</v>
      </c>
      <c r="M19" s="61" t="s">
        <v>484</v>
      </c>
      <c r="N19" s="60"/>
      <c r="O19" s="56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 customFormat="false" ht="22.5" hidden="false" customHeight="true" outlineLevel="0" collapsed="false">
      <c r="A20" s="57" t="n">
        <v>45722</v>
      </c>
      <c r="B20" s="1" t="n">
        <v>5</v>
      </c>
      <c r="C20" s="56" t="str">
        <f aca="false">IF(ISBLANK(A20), "--", PROPER(TEXT(A20, "dddd")))</f>
        <v>Thursday</v>
      </c>
      <c r="D20" s="56" t="s">
        <v>145</v>
      </c>
      <c r="E20" s="56" t="s">
        <v>139</v>
      </c>
      <c r="F20" s="60" t="s">
        <v>485</v>
      </c>
      <c r="G20" s="56" t="s">
        <v>48</v>
      </c>
      <c r="H20" s="56" t="s">
        <v>141</v>
      </c>
      <c r="I20" s="56" t="s">
        <v>21</v>
      </c>
      <c r="J20" s="57" t="n">
        <v>45722</v>
      </c>
      <c r="K20" s="56" t="n">
        <v>1</v>
      </c>
      <c r="L20" s="59" t="n">
        <v>0.136111111111111</v>
      </c>
      <c r="M20" s="31" t="s">
        <v>486</v>
      </c>
      <c r="N20" s="60"/>
      <c r="O20" s="56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 customFormat="false" ht="22.5" hidden="false" customHeight="true" outlineLevel="0" collapsed="false">
      <c r="A21" s="57" t="n">
        <v>45722</v>
      </c>
      <c r="B21" s="1" t="n">
        <v>5</v>
      </c>
      <c r="C21" s="56" t="str">
        <f aca="false">IF(ISBLANK(A21), "--", PROPER(TEXT(A21, "dddd")))</f>
        <v>Thursday</v>
      </c>
      <c r="D21" s="56" t="s">
        <v>72</v>
      </c>
      <c r="E21" s="56" t="s">
        <v>17</v>
      </c>
      <c r="F21" s="60" t="s">
        <v>487</v>
      </c>
      <c r="G21" s="56" t="s">
        <v>19</v>
      </c>
      <c r="H21" s="56" t="s">
        <v>449</v>
      </c>
      <c r="I21" s="56" t="s">
        <v>21</v>
      </c>
      <c r="J21" s="57" t="n">
        <v>45723</v>
      </c>
      <c r="K21" s="56" t="n">
        <v>1</v>
      </c>
      <c r="L21" s="59" t="n">
        <v>0.0666666666666667</v>
      </c>
      <c r="M21" s="61" t="s">
        <v>488</v>
      </c>
      <c r="N21" s="60"/>
      <c r="O21" s="56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 customFormat="false" ht="22.5" hidden="false" customHeight="true" outlineLevel="0" collapsed="false">
      <c r="A22" s="57" t="n">
        <v>45723</v>
      </c>
      <c r="B22" s="1" t="n">
        <v>5</v>
      </c>
      <c r="C22" s="56" t="str">
        <f aca="false">IF(ISBLANK(A22), "--", PROPER(TEXT(A22, "dddd")))</f>
        <v>Friday</v>
      </c>
      <c r="D22" s="56" t="s">
        <v>16</v>
      </c>
      <c r="E22" s="56" t="s">
        <v>17</v>
      </c>
      <c r="F22" s="60" t="s">
        <v>489</v>
      </c>
      <c r="G22" s="56" t="s">
        <v>19</v>
      </c>
      <c r="H22" s="56" t="s">
        <v>449</v>
      </c>
      <c r="I22" s="56" t="s">
        <v>21</v>
      </c>
      <c r="J22" s="57" t="n">
        <v>45722</v>
      </c>
      <c r="K22" s="56" t="n">
        <v>1</v>
      </c>
      <c r="L22" s="59" t="n">
        <v>0.00902777777777778</v>
      </c>
      <c r="M22" s="61" t="s">
        <v>490</v>
      </c>
      <c r="N22" s="60"/>
      <c r="O22" s="56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customFormat="false" ht="22.5" hidden="false" customHeight="true" outlineLevel="0" collapsed="false">
      <c r="A23" s="57" t="n">
        <v>45723</v>
      </c>
      <c r="B23" s="1" t="n">
        <v>5</v>
      </c>
      <c r="C23" s="56" t="str">
        <f aca="false">IF(ISBLANK(A23), "--", PROPER(TEXT(A23, "dddd")))</f>
        <v>Friday</v>
      </c>
      <c r="D23" s="56" t="s">
        <v>130</v>
      </c>
      <c r="E23" s="56" t="s">
        <v>17</v>
      </c>
      <c r="F23" s="60" t="s">
        <v>491</v>
      </c>
      <c r="G23" s="56" t="s">
        <v>19</v>
      </c>
      <c r="H23" s="56" t="s">
        <v>70</v>
      </c>
      <c r="I23" s="56" t="s">
        <v>21</v>
      </c>
      <c r="J23" s="57" t="n">
        <v>45723</v>
      </c>
      <c r="K23" s="56" t="n">
        <v>1</v>
      </c>
      <c r="L23" s="59" t="n">
        <v>0.00902777777777778</v>
      </c>
      <c r="M23" s="31" t="s">
        <v>492</v>
      </c>
      <c r="N23" s="60"/>
      <c r="O23" s="56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 customFormat="false" ht="22.5" hidden="false" customHeight="true" outlineLevel="0" collapsed="false">
      <c r="A24" s="57" t="n">
        <v>45723</v>
      </c>
      <c r="B24" s="1" t="n">
        <v>5</v>
      </c>
      <c r="C24" s="56" t="str">
        <f aca="false">IF(ISBLANK(A24), "--", PROPER(TEXT(A24, "dddd")))</f>
        <v>Friday</v>
      </c>
      <c r="D24" s="56" t="s">
        <v>46</v>
      </c>
      <c r="E24" s="56" t="s">
        <v>17</v>
      </c>
      <c r="F24" s="60" t="s">
        <v>493</v>
      </c>
      <c r="G24" s="56" t="s">
        <v>19</v>
      </c>
      <c r="H24" s="56" t="s">
        <v>53</v>
      </c>
      <c r="I24" s="56" t="s">
        <v>21</v>
      </c>
      <c r="J24" s="57" t="n">
        <v>45723</v>
      </c>
      <c r="K24" s="56" t="n">
        <v>1</v>
      </c>
      <c r="L24" s="59" t="n">
        <v>0.0791666666666667</v>
      </c>
      <c r="M24" s="61" t="s">
        <v>494</v>
      </c>
      <c r="N24" s="60"/>
      <c r="O24" s="56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</row>
    <row r="25" customFormat="false" ht="22.5" hidden="false" customHeight="true" outlineLevel="0" collapsed="false">
      <c r="A25" s="57" t="n">
        <v>45723</v>
      </c>
      <c r="B25" s="1" t="n">
        <v>5</v>
      </c>
      <c r="C25" s="56" t="str">
        <f aca="false">IF(ISBLANK(A25), "--", PROPER(TEXT(A25, "dddd")))</f>
        <v>Friday</v>
      </c>
      <c r="D25" s="56" t="s">
        <v>46</v>
      </c>
      <c r="E25" s="56" t="s">
        <v>17</v>
      </c>
      <c r="F25" s="60" t="s">
        <v>495</v>
      </c>
      <c r="G25" s="56" t="s">
        <v>19</v>
      </c>
      <c r="H25" s="56" t="s">
        <v>496</v>
      </c>
      <c r="I25" s="56" t="s">
        <v>21</v>
      </c>
      <c r="J25" s="57" t="n">
        <v>45750</v>
      </c>
      <c r="K25" s="56" t="n">
        <v>0.5</v>
      </c>
      <c r="L25" s="59" t="n">
        <v>0.0208333333333333</v>
      </c>
      <c r="M25" s="61" t="s">
        <v>497</v>
      </c>
      <c r="N25" s="60"/>
      <c r="O25" s="56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 customFormat="false" ht="22.5" hidden="false" customHeight="true" outlineLevel="0" collapsed="false">
      <c r="A26" s="57" t="n">
        <v>45723</v>
      </c>
      <c r="B26" s="1" t="n">
        <v>5</v>
      </c>
      <c r="C26" s="56" t="str">
        <f aca="false">IF(ISBLANK(A26), "--", PROPER(TEXT(A26, "dddd")))</f>
        <v>Friday</v>
      </c>
      <c r="D26" s="56" t="s">
        <v>46</v>
      </c>
      <c r="E26" s="56" t="s">
        <v>17</v>
      </c>
      <c r="F26" s="60" t="s">
        <v>498</v>
      </c>
      <c r="G26" s="56" t="s">
        <v>48</v>
      </c>
      <c r="H26" s="56" t="s">
        <v>53</v>
      </c>
      <c r="I26" s="56" t="s">
        <v>21</v>
      </c>
      <c r="J26" s="57" t="n">
        <v>45733</v>
      </c>
      <c r="K26" s="56" t="n">
        <v>5</v>
      </c>
      <c r="L26" s="59" t="n">
        <v>0.585416666666667</v>
      </c>
      <c r="M26" s="61" t="s">
        <v>499</v>
      </c>
      <c r="N26" s="60"/>
      <c r="O26" s="5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 customFormat="false" ht="22.5" hidden="false" customHeight="true" outlineLevel="0" collapsed="false">
      <c r="A27" s="57" t="n">
        <v>45726</v>
      </c>
      <c r="B27" s="1" t="n">
        <v>5</v>
      </c>
      <c r="C27" s="56" t="str">
        <f aca="false">IF(ISBLANK(A27), "--", PROPER(TEXT(A27, "dddd")))</f>
        <v>Monday</v>
      </c>
      <c r="D27" s="56" t="s">
        <v>46</v>
      </c>
      <c r="E27" s="56" t="s">
        <v>17</v>
      </c>
      <c r="F27" s="60" t="s">
        <v>500</v>
      </c>
      <c r="G27" s="56" t="s">
        <v>19</v>
      </c>
      <c r="H27" s="56" t="s">
        <v>53</v>
      </c>
      <c r="I27" s="56" t="s">
        <v>21</v>
      </c>
      <c r="J27" s="57" t="n">
        <v>45728</v>
      </c>
      <c r="K27" s="56" t="n">
        <v>8</v>
      </c>
      <c r="L27" s="59" t="n">
        <v>0.495138888888889</v>
      </c>
      <c r="M27" s="61" t="s">
        <v>501</v>
      </c>
      <c r="N27" s="60"/>
      <c r="O27" s="56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customFormat="false" ht="22.5" hidden="false" customHeight="true" outlineLevel="0" collapsed="false">
      <c r="A28" s="57" t="n">
        <v>45726</v>
      </c>
      <c r="B28" s="1" t="n">
        <v>5</v>
      </c>
      <c r="C28" s="56" t="str">
        <f aca="false">IF(ISBLANK(A28), "--", PROPER(TEXT(A28, "dddd")))</f>
        <v>Monday</v>
      </c>
      <c r="D28" s="56" t="s">
        <v>46</v>
      </c>
      <c r="E28" s="56" t="s">
        <v>17</v>
      </c>
      <c r="F28" s="60" t="s">
        <v>502</v>
      </c>
      <c r="G28" s="56" t="s">
        <v>19</v>
      </c>
      <c r="H28" s="56" t="s">
        <v>53</v>
      </c>
      <c r="I28" s="56" t="s">
        <v>21</v>
      </c>
      <c r="J28" s="57" t="n">
        <v>45729</v>
      </c>
      <c r="K28" s="56" t="n">
        <v>8</v>
      </c>
      <c r="L28" s="59" t="n">
        <v>0.5</v>
      </c>
      <c r="M28" s="61" t="s">
        <v>503</v>
      </c>
      <c r="N28" s="60"/>
      <c r="O28" s="56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customFormat="false" ht="22.5" hidden="false" customHeight="true" outlineLevel="0" collapsed="false">
      <c r="A29" s="57" t="n">
        <v>45728</v>
      </c>
      <c r="B29" s="1" t="n">
        <v>5</v>
      </c>
      <c r="C29" s="56" t="str">
        <f aca="false">IF(ISBLANK(A29), "--", PROPER(TEXT(A29, "dddd")))</f>
        <v>Wednesday</v>
      </c>
      <c r="D29" s="56" t="s">
        <v>46</v>
      </c>
      <c r="E29" s="56" t="s">
        <v>17</v>
      </c>
      <c r="F29" s="60" t="s">
        <v>504</v>
      </c>
      <c r="G29" s="56" t="s">
        <v>19</v>
      </c>
      <c r="H29" s="56" t="s">
        <v>20</v>
      </c>
      <c r="I29" s="56" t="s">
        <v>21</v>
      </c>
      <c r="J29" s="57" t="n">
        <v>45730</v>
      </c>
      <c r="K29" s="56" t="n">
        <v>2</v>
      </c>
      <c r="L29" s="59" t="n">
        <v>0.349305555555556</v>
      </c>
      <c r="M29" s="31" t="s">
        <v>505</v>
      </c>
      <c r="N29" s="60"/>
      <c r="O29" s="56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 customFormat="false" ht="22.5" hidden="false" customHeight="true" outlineLevel="0" collapsed="false">
      <c r="A30" s="57" t="n">
        <v>45729</v>
      </c>
      <c r="B30" s="1" t="n">
        <v>5</v>
      </c>
      <c r="C30" s="56" t="str">
        <f aca="false">IF(ISBLANK(A30), "--", PROPER(TEXT(A30, "dddd")))</f>
        <v>Thursday</v>
      </c>
      <c r="D30" s="56" t="s">
        <v>16</v>
      </c>
      <c r="E30" s="56" t="s">
        <v>17</v>
      </c>
      <c r="F30" s="60" t="s">
        <v>506</v>
      </c>
      <c r="G30" s="56" t="s">
        <v>19</v>
      </c>
      <c r="H30" s="56" t="s">
        <v>449</v>
      </c>
      <c r="I30" s="56" t="s">
        <v>21</v>
      </c>
      <c r="J30" s="57" t="n">
        <v>45729</v>
      </c>
      <c r="K30" s="56" t="n">
        <v>1</v>
      </c>
      <c r="L30" s="59" t="n">
        <v>0.0708333333333333</v>
      </c>
      <c r="M30" s="61" t="s">
        <v>507</v>
      </c>
      <c r="N30" s="60"/>
      <c r="O30" s="56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 customFormat="false" ht="22.5" hidden="false" customHeight="true" outlineLevel="0" collapsed="false">
      <c r="A31" s="55" t="n">
        <v>45733</v>
      </c>
      <c r="B31" s="1" t="n">
        <v>6</v>
      </c>
      <c r="C31" s="56" t="str">
        <f aca="false">IF(ISBLANK(A31), "--", PROPER(TEXT(A31, "dddd")))</f>
        <v>Monday</v>
      </c>
      <c r="D31" s="56" t="s">
        <v>145</v>
      </c>
      <c r="E31" s="56" t="s">
        <v>17</v>
      </c>
      <c r="F31" s="60" t="s">
        <v>508</v>
      </c>
      <c r="G31" s="56" t="s">
        <v>19</v>
      </c>
      <c r="H31" s="56" t="s">
        <v>141</v>
      </c>
      <c r="I31" s="56" t="s">
        <v>21</v>
      </c>
      <c r="J31" s="57" t="n">
        <v>45734</v>
      </c>
      <c r="K31" s="56" t="n">
        <v>2</v>
      </c>
      <c r="L31" s="59" t="n">
        <v>0.197222222222222</v>
      </c>
      <c r="M31" s="61" t="s">
        <v>509</v>
      </c>
      <c r="N31" s="60"/>
      <c r="O31" s="56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</row>
    <row r="32" customFormat="false" ht="22.5" hidden="false" customHeight="true" outlineLevel="0" collapsed="false">
      <c r="A32" s="63" t="n">
        <v>45733</v>
      </c>
      <c r="B32" s="1" t="n">
        <v>6</v>
      </c>
      <c r="C32" s="56" t="str">
        <f aca="false">IF(ISBLANK(A32), "--", PROPER(TEXT(A32, "dddd")))</f>
        <v>Monday</v>
      </c>
      <c r="D32" s="56" t="s">
        <v>16</v>
      </c>
      <c r="E32" s="56" t="s">
        <v>17</v>
      </c>
      <c r="F32" s="60" t="s">
        <v>172</v>
      </c>
      <c r="G32" s="56" t="s">
        <v>19</v>
      </c>
      <c r="H32" s="56" t="s">
        <v>449</v>
      </c>
      <c r="I32" s="56" t="s">
        <v>21</v>
      </c>
      <c r="J32" s="57" t="n">
        <v>45733</v>
      </c>
      <c r="K32" s="56" t="n">
        <v>1</v>
      </c>
      <c r="L32" s="59" t="n">
        <v>0.0291666666666667</v>
      </c>
      <c r="M32" s="31" t="s">
        <v>510</v>
      </c>
      <c r="N32" s="60"/>
      <c r="O32" s="56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  <row r="33" customFormat="false" ht="22.5" hidden="false" customHeight="true" outlineLevel="0" collapsed="false">
      <c r="A33" s="63" t="n">
        <v>45733</v>
      </c>
      <c r="B33" s="1" t="n">
        <v>6</v>
      </c>
      <c r="C33" s="56" t="str">
        <f aca="false">IF(ISBLANK(A33), "--", PROPER(TEXT(A33, "dddd")))</f>
        <v>Monday</v>
      </c>
      <c r="D33" s="56" t="s">
        <v>46</v>
      </c>
      <c r="E33" s="56" t="s">
        <v>17</v>
      </c>
      <c r="F33" s="60" t="s">
        <v>511</v>
      </c>
      <c r="G33" s="56" t="s">
        <v>77</v>
      </c>
      <c r="H33" s="56" t="s">
        <v>20</v>
      </c>
      <c r="I33" s="56" t="s">
        <v>21</v>
      </c>
      <c r="J33" s="63" t="n">
        <v>45733</v>
      </c>
      <c r="K33" s="56" t="n">
        <v>0.5</v>
      </c>
      <c r="L33" s="59" t="n">
        <v>0.0208333333333333</v>
      </c>
      <c r="M33" s="61" t="s">
        <v>512</v>
      </c>
      <c r="N33" s="60"/>
      <c r="O33" s="56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</row>
    <row r="34" customFormat="false" ht="22.5" hidden="false" customHeight="true" outlineLevel="0" collapsed="false">
      <c r="A34" s="63" t="n">
        <v>45733</v>
      </c>
      <c r="B34" s="1" t="n">
        <v>6</v>
      </c>
      <c r="C34" s="56" t="str">
        <f aca="false">IF(ISBLANK(A34), "--", PROPER(TEXT(A34, "dddd")))</f>
        <v>Monday</v>
      </c>
      <c r="D34" s="56" t="s">
        <v>145</v>
      </c>
      <c r="E34" s="56" t="s">
        <v>17</v>
      </c>
      <c r="F34" s="60" t="s">
        <v>513</v>
      </c>
      <c r="G34" s="56" t="s">
        <v>19</v>
      </c>
      <c r="H34" s="56" t="s">
        <v>141</v>
      </c>
      <c r="I34" s="56" t="s">
        <v>21</v>
      </c>
      <c r="J34" s="57" t="n">
        <v>45736</v>
      </c>
      <c r="K34" s="56" t="n">
        <v>1</v>
      </c>
      <c r="L34" s="59" t="n">
        <v>0.0416666666666667</v>
      </c>
      <c r="M34" s="31" t="s">
        <v>514</v>
      </c>
      <c r="N34" s="60"/>
      <c r="O34" s="56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  <row r="35" customFormat="false" ht="22.5" hidden="false" customHeight="true" outlineLevel="0" collapsed="false">
      <c r="A35" s="63" t="n">
        <v>45733</v>
      </c>
      <c r="B35" s="1" t="n">
        <v>6</v>
      </c>
      <c r="C35" s="56" t="str">
        <f aca="false">IF(ISBLANK(A35), "--", PROPER(TEXT(A35, "dddd")))</f>
        <v>Monday</v>
      </c>
      <c r="D35" s="56" t="s">
        <v>46</v>
      </c>
      <c r="E35" s="56" t="s">
        <v>17</v>
      </c>
      <c r="F35" s="60" t="s">
        <v>515</v>
      </c>
      <c r="G35" s="56" t="s">
        <v>19</v>
      </c>
      <c r="H35" s="56" t="s">
        <v>53</v>
      </c>
      <c r="I35" s="56" t="s">
        <v>21</v>
      </c>
      <c r="J35" s="63" t="n">
        <v>45733</v>
      </c>
      <c r="K35" s="56" t="n">
        <v>2</v>
      </c>
      <c r="L35" s="59" t="n">
        <v>0.158333333333333</v>
      </c>
      <c r="M35" s="61" t="s">
        <v>516</v>
      </c>
      <c r="N35" s="60"/>
      <c r="O35" s="56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customFormat="false" ht="22.5" hidden="false" customHeight="true" outlineLevel="0" collapsed="false">
      <c r="A36" s="63" t="n">
        <v>45733</v>
      </c>
      <c r="B36" s="1" t="n">
        <v>6</v>
      </c>
      <c r="C36" s="56" t="str">
        <f aca="false">IF(ISBLANK(A36), "--", PROPER(TEXT(A36, "dddd")))</f>
        <v>Monday</v>
      </c>
      <c r="D36" s="56" t="s">
        <v>46</v>
      </c>
      <c r="E36" s="56" t="s">
        <v>17</v>
      </c>
      <c r="F36" s="60" t="s">
        <v>517</v>
      </c>
      <c r="G36" s="56" t="s">
        <v>19</v>
      </c>
      <c r="H36" s="56" t="s">
        <v>53</v>
      </c>
      <c r="I36" s="56" t="s">
        <v>21</v>
      </c>
      <c r="J36" s="57" t="n">
        <v>45735</v>
      </c>
      <c r="K36" s="56" t="n">
        <v>2</v>
      </c>
      <c r="L36" s="59" t="n">
        <v>0.129861111111111</v>
      </c>
      <c r="M36" s="61" t="s">
        <v>518</v>
      </c>
      <c r="N36" s="60"/>
      <c r="O36" s="56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customFormat="false" ht="22.5" hidden="false" customHeight="true" outlineLevel="0" collapsed="false">
      <c r="A37" s="63" t="n">
        <v>45733</v>
      </c>
      <c r="B37" s="1" t="n">
        <v>6</v>
      </c>
      <c r="C37" s="56" t="str">
        <f aca="false">IF(ISBLANK(A37), "--", PROPER(TEXT(A37, "dddd")))</f>
        <v>Monday</v>
      </c>
      <c r="D37" s="56" t="s">
        <v>46</v>
      </c>
      <c r="E37" s="56" t="s">
        <v>17</v>
      </c>
      <c r="F37" s="60" t="s">
        <v>519</v>
      </c>
      <c r="G37" s="56" t="s">
        <v>19</v>
      </c>
      <c r="H37" s="56" t="s">
        <v>53</v>
      </c>
      <c r="I37" s="56" t="s">
        <v>21</v>
      </c>
      <c r="J37" s="63" t="n">
        <v>45735</v>
      </c>
      <c r="K37" s="56" t="n">
        <v>1</v>
      </c>
      <c r="L37" s="59" t="n">
        <v>0.0625</v>
      </c>
      <c r="M37" s="61" t="s">
        <v>520</v>
      </c>
      <c r="N37" s="60"/>
      <c r="O37" s="56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customFormat="false" ht="22.5" hidden="false" customHeight="true" outlineLevel="0" collapsed="false">
      <c r="A38" s="63" t="n">
        <v>45733</v>
      </c>
      <c r="B38" s="1" t="n">
        <v>6</v>
      </c>
      <c r="C38" s="56" t="str">
        <f aca="false">IF(ISBLANK(A38), "--", PROPER(TEXT(A38, "dddd")))</f>
        <v>Monday</v>
      </c>
      <c r="D38" s="56" t="s">
        <v>46</v>
      </c>
      <c r="E38" s="56" t="s">
        <v>17</v>
      </c>
      <c r="F38" s="60" t="s">
        <v>521</v>
      </c>
      <c r="G38" s="56" t="s">
        <v>19</v>
      </c>
      <c r="H38" s="56" t="s">
        <v>53</v>
      </c>
      <c r="I38" s="56" t="s">
        <v>21</v>
      </c>
      <c r="J38" s="57" t="n">
        <v>45735</v>
      </c>
      <c r="K38" s="56" t="n">
        <v>3</v>
      </c>
      <c r="L38" s="59" t="n">
        <v>0.250694444444444</v>
      </c>
      <c r="M38" s="61" t="s">
        <v>522</v>
      </c>
      <c r="N38" s="60"/>
      <c r="O38" s="56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 customFormat="false" ht="22.5" hidden="false" customHeight="true" outlineLevel="0" collapsed="false">
      <c r="A39" s="63" t="n">
        <v>45733</v>
      </c>
      <c r="B39" s="1" t="n">
        <v>6</v>
      </c>
      <c r="C39" s="56" t="str">
        <f aca="false">IF(ISBLANK(A39), "--", PROPER(TEXT(A39, "dddd")))</f>
        <v>Monday</v>
      </c>
      <c r="D39" s="56" t="s">
        <v>46</v>
      </c>
      <c r="E39" s="56" t="s">
        <v>17</v>
      </c>
      <c r="F39" s="60" t="s">
        <v>523</v>
      </c>
      <c r="G39" s="56" t="s">
        <v>19</v>
      </c>
      <c r="H39" s="56" t="s">
        <v>53</v>
      </c>
      <c r="I39" s="56" t="s">
        <v>21</v>
      </c>
      <c r="J39" s="57" t="n">
        <v>45736</v>
      </c>
      <c r="K39" s="56" t="n">
        <v>3</v>
      </c>
      <c r="L39" s="59" t="n">
        <v>0.359027777777778</v>
      </c>
      <c r="M39" s="61" t="s">
        <v>524</v>
      </c>
      <c r="N39" s="60"/>
      <c r="O39" s="56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 customFormat="false" ht="22.5" hidden="false" customHeight="true" outlineLevel="0" collapsed="false">
      <c r="A40" s="63" t="n">
        <v>45733</v>
      </c>
      <c r="B40" s="1" t="n">
        <v>6</v>
      </c>
      <c r="C40" s="56" t="str">
        <f aca="false">IF(ISBLANK(A40), "--", PROPER(TEXT(A40, "dddd")))</f>
        <v>Monday</v>
      </c>
      <c r="D40" s="56" t="s">
        <v>46</v>
      </c>
      <c r="E40" s="56" t="s">
        <v>17</v>
      </c>
      <c r="F40" s="60" t="s">
        <v>525</v>
      </c>
      <c r="G40" s="56" t="s">
        <v>19</v>
      </c>
      <c r="H40" s="56" t="s">
        <v>53</v>
      </c>
      <c r="I40" s="56" t="s">
        <v>21</v>
      </c>
      <c r="J40" s="57" t="n">
        <v>45737</v>
      </c>
      <c r="K40" s="56" t="n">
        <v>3</v>
      </c>
      <c r="L40" s="59" t="n">
        <v>0.276388888888889</v>
      </c>
      <c r="M40" s="61" t="s">
        <v>526</v>
      </c>
      <c r="N40" s="60"/>
      <c r="O40" s="56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 customFormat="false" ht="22.5" hidden="false" customHeight="true" outlineLevel="0" collapsed="false">
      <c r="A41" s="63" t="n">
        <v>45735</v>
      </c>
      <c r="B41" s="1" t="n">
        <v>6</v>
      </c>
      <c r="C41" s="56" t="str">
        <f aca="false">IF(ISBLANK(A41), "--", PROPER(TEXT(A41, "dddd")))</f>
        <v>Wednesday</v>
      </c>
      <c r="D41" s="56" t="s">
        <v>16</v>
      </c>
      <c r="E41" s="56" t="s">
        <v>17</v>
      </c>
      <c r="F41" s="60" t="s">
        <v>210</v>
      </c>
      <c r="G41" s="56" t="s">
        <v>19</v>
      </c>
      <c r="H41" s="56" t="s">
        <v>449</v>
      </c>
      <c r="I41" s="56" t="s">
        <v>21</v>
      </c>
      <c r="J41" s="63" t="n">
        <v>45735</v>
      </c>
      <c r="K41" s="56" t="n">
        <v>1</v>
      </c>
      <c r="L41" s="59" t="n">
        <v>0.0152777777777778</v>
      </c>
      <c r="M41" s="61" t="s">
        <v>527</v>
      </c>
      <c r="N41" s="60"/>
      <c r="O41" s="56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</row>
    <row r="42" customFormat="false" ht="22.5" hidden="false" customHeight="true" outlineLevel="0" collapsed="false">
      <c r="A42" s="63" t="n">
        <v>45735</v>
      </c>
      <c r="B42" s="1" t="n">
        <v>6</v>
      </c>
      <c r="C42" s="56" t="str">
        <f aca="false">IF(ISBLANK(A42), "--", PROPER(TEXT(A42, "dddd")))</f>
        <v>Wednesday</v>
      </c>
      <c r="D42" s="56" t="s">
        <v>16</v>
      </c>
      <c r="E42" s="56" t="s">
        <v>24</v>
      </c>
      <c r="F42" s="60" t="s">
        <v>528</v>
      </c>
      <c r="G42" s="56" t="s">
        <v>19</v>
      </c>
      <c r="H42" s="56" t="s">
        <v>24</v>
      </c>
      <c r="I42" s="56" t="s">
        <v>21</v>
      </c>
      <c r="J42" s="57" t="n">
        <v>45743</v>
      </c>
      <c r="K42" s="56" t="n">
        <v>0</v>
      </c>
      <c r="L42" s="59" t="n">
        <v>0</v>
      </c>
      <c r="M42" s="61" t="s">
        <v>529</v>
      </c>
      <c r="N42" s="60"/>
      <c r="O42" s="56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 customFormat="false" ht="22.5" hidden="false" customHeight="true" outlineLevel="0" collapsed="false">
      <c r="A43" s="63" t="n">
        <v>45735</v>
      </c>
      <c r="B43" s="1" t="n">
        <v>6</v>
      </c>
      <c r="C43" s="56" t="str">
        <f aca="false">IF(ISBLANK(A43), "--", PROPER(TEXT(A43, "dddd")))</f>
        <v>Wednesday</v>
      </c>
      <c r="D43" s="56" t="s">
        <v>16</v>
      </c>
      <c r="E43" s="56" t="s">
        <v>17</v>
      </c>
      <c r="F43" s="60" t="s">
        <v>530</v>
      </c>
      <c r="G43" s="56" t="s">
        <v>19</v>
      </c>
      <c r="H43" s="56" t="s">
        <v>449</v>
      </c>
      <c r="I43" s="56" t="s">
        <v>21</v>
      </c>
      <c r="J43" s="63" t="n">
        <v>45736</v>
      </c>
      <c r="K43" s="56" t="n">
        <v>1</v>
      </c>
      <c r="L43" s="59" t="n">
        <v>0.0555555555555556</v>
      </c>
      <c r="M43" s="61" t="s">
        <v>531</v>
      </c>
      <c r="N43" s="60"/>
      <c r="O43" s="56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 customFormat="false" ht="22.5" hidden="false" customHeight="true" outlineLevel="0" collapsed="false">
      <c r="A44" s="63" t="n">
        <v>45736</v>
      </c>
      <c r="B44" s="1" t="n">
        <v>6</v>
      </c>
      <c r="C44" s="56" t="str">
        <f aca="false">IF(ISBLANK(A44), "--", PROPER(TEXT(A44, "dddd")))</f>
        <v>Thursday</v>
      </c>
      <c r="D44" s="56" t="s">
        <v>16</v>
      </c>
      <c r="E44" s="56" t="s">
        <v>17</v>
      </c>
      <c r="F44" s="60" t="s">
        <v>172</v>
      </c>
      <c r="G44" s="56" t="s">
        <v>19</v>
      </c>
      <c r="H44" s="56" t="s">
        <v>449</v>
      </c>
      <c r="I44" s="56" t="s">
        <v>21</v>
      </c>
      <c r="J44" s="63" t="n">
        <v>45736</v>
      </c>
      <c r="K44" s="56" t="n">
        <v>1</v>
      </c>
      <c r="L44" s="59" t="n">
        <v>0.01875</v>
      </c>
      <c r="M44" s="61" t="s">
        <v>532</v>
      </c>
      <c r="N44" s="60"/>
      <c r="O44" s="56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customFormat="false" ht="22.5" hidden="false" customHeight="true" outlineLevel="0" collapsed="false">
      <c r="A45" s="63" t="n">
        <v>45736</v>
      </c>
      <c r="B45" s="1" t="n">
        <v>6</v>
      </c>
      <c r="C45" s="56" t="str">
        <f aca="false">IF(ISBLANK(A45), "--", PROPER(TEXT(A45, "dddd")))</f>
        <v>Thursday</v>
      </c>
      <c r="D45" s="56" t="s">
        <v>16</v>
      </c>
      <c r="E45" s="56" t="s">
        <v>17</v>
      </c>
      <c r="F45" s="60" t="s">
        <v>533</v>
      </c>
      <c r="G45" s="56" t="s">
        <v>19</v>
      </c>
      <c r="H45" s="56" t="s">
        <v>449</v>
      </c>
      <c r="I45" s="56" t="s">
        <v>21</v>
      </c>
      <c r="J45" s="63" t="n">
        <v>45736</v>
      </c>
      <c r="K45" s="56" t="n">
        <v>1</v>
      </c>
      <c r="L45" s="59" t="n">
        <v>0.025</v>
      </c>
      <c r="M45" s="61" t="s">
        <v>534</v>
      </c>
      <c r="N45" s="60"/>
      <c r="O45" s="56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customFormat="false" ht="22.5" hidden="false" customHeight="true" outlineLevel="0" collapsed="false">
      <c r="A46" s="63" t="n">
        <v>45736</v>
      </c>
      <c r="B46" s="1" t="n">
        <v>6</v>
      </c>
      <c r="C46" s="56" t="str">
        <f aca="false">IF(ISBLANK(A46), "--", PROPER(TEXT(A46, "dddd")))</f>
        <v>Thursday</v>
      </c>
      <c r="D46" s="56" t="s">
        <v>16</v>
      </c>
      <c r="E46" s="56" t="s">
        <v>24</v>
      </c>
      <c r="F46" s="60" t="s">
        <v>535</v>
      </c>
      <c r="G46" s="56" t="s">
        <v>19</v>
      </c>
      <c r="H46" s="56" t="s">
        <v>24</v>
      </c>
      <c r="I46" s="56" t="s">
        <v>21</v>
      </c>
      <c r="J46" s="57" t="n">
        <v>45737</v>
      </c>
      <c r="K46" s="56" t="n">
        <v>0</v>
      </c>
      <c r="L46" s="59" t="n">
        <v>0</v>
      </c>
      <c r="M46" s="61" t="s">
        <v>536</v>
      </c>
      <c r="N46" s="60"/>
      <c r="O46" s="56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customFormat="false" ht="22.5" hidden="false" customHeight="true" outlineLevel="0" collapsed="false">
      <c r="A47" s="63" t="n">
        <v>45736</v>
      </c>
      <c r="B47" s="1" t="n">
        <v>6</v>
      </c>
      <c r="C47" s="56" t="str">
        <f aca="false">IF(ISBLANK(A47), "--", PROPER(TEXT(A47, "dddd")))</f>
        <v>Thursday</v>
      </c>
      <c r="D47" s="56" t="s">
        <v>145</v>
      </c>
      <c r="E47" s="56" t="s">
        <v>17</v>
      </c>
      <c r="F47" s="60" t="s">
        <v>537</v>
      </c>
      <c r="G47" s="56" t="s">
        <v>19</v>
      </c>
      <c r="H47" s="56" t="s">
        <v>34</v>
      </c>
      <c r="I47" s="56" t="s">
        <v>21</v>
      </c>
      <c r="J47" s="57" t="n">
        <v>45741</v>
      </c>
      <c r="K47" s="56" t="n">
        <v>3</v>
      </c>
      <c r="L47" s="59" t="n">
        <v>0.0638888888888889</v>
      </c>
      <c r="M47" s="61" t="s">
        <v>538</v>
      </c>
      <c r="N47" s="60"/>
      <c r="O47" s="56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 customFormat="false" ht="22.5" hidden="false" customHeight="true" outlineLevel="0" collapsed="false">
      <c r="A48" s="63" t="n">
        <v>45736</v>
      </c>
      <c r="B48" s="1" t="n">
        <v>6</v>
      </c>
      <c r="C48" s="56" t="str">
        <f aca="false">IF(ISBLANK(A48), "--", PROPER(TEXT(A48, "dddd")))</f>
        <v>Thursday</v>
      </c>
      <c r="D48" s="56" t="s">
        <v>145</v>
      </c>
      <c r="E48" s="56" t="s">
        <v>17</v>
      </c>
      <c r="F48" s="60" t="s">
        <v>539</v>
      </c>
      <c r="G48" s="56" t="s">
        <v>19</v>
      </c>
      <c r="H48" s="56" t="s">
        <v>449</v>
      </c>
      <c r="I48" s="56" t="s">
        <v>21</v>
      </c>
      <c r="J48" s="63" t="n">
        <v>45736</v>
      </c>
      <c r="K48" s="56" t="n">
        <v>1</v>
      </c>
      <c r="L48" s="59" t="n">
        <v>0.0243055555555556</v>
      </c>
      <c r="M48" s="31" t="s">
        <v>540</v>
      </c>
      <c r="N48" s="60"/>
      <c r="O48" s="56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 customFormat="false" ht="22.5" hidden="false" customHeight="true" outlineLevel="0" collapsed="false">
      <c r="A49" s="57" t="n">
        <v>45737</v>
      </c>
      <c r="B49" s="1" t="n">
        <v>6</v>
      </c>
      <c r="C49" s="56" t="str">
        <f aca="false">IF(ISBLANK(A49), "--", PROPER(TEXT(A49, "dddd")))</f>
        <v>Friday</v>
      </c>
      <c r="D49" s="56" t="s">
        <v>145</v>
      </c>
      <c r="E49" s="56" t="s">
        <v>139</v>
      </c>
      <c r="F49" s="60" t="s">
        <v>541</v>
      </c>
      <c r="G49" s="56" t="s">
        <v>48</v>
      </c>
      <c r="H49" s="56" t="s">
        <v>141</v>
      </c>
      <c r="I49" s="56" t="s">
        <v>21</v>
      </c>
      <c r="J49" s="57" t="n">
        <v>45741</v>
      </c>
      <c r="K49" s="56" t="n">
        <v>1</v>
      </c>
      <c r="L49" s="59" t="n">
        <v>0</v>
      </c>
      <c r="M49" s="31" t="s">
        <v>542</v>
      </c>
      <c r="N49" s="60"/>
      <c r="O49" s="56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 customFormat="false" ht="22.5" hidden="false" customHeight="true" outlineLevel="0" collapsed="false">
      <c r="A50" s="57" t="n">
        <v>45742</v>
      </c>
      <c r="B50" s="1" t="n">
        <v>6</v>
      </c>
      <c r="C50" s="56" t="str">
        <f aca="false">IF(ISBLANK(A50), "--", PROPER(TEXT(A50, "dddd")))</f>
        <v>Wednesday</v>
      </c>
      <c r="D50" s="56" t="s">
        <v>85</v>
      </c>
      <c r="E50" s="56" t="s">
        <v>17</v>
      </c>
      <c r="F50" s="60" t="s">
        <v>543</v>
      </c>
      <c r="G50" s="56" t="s">
        <v>77</v>
      </c>
      <c r="H50" s="56" t="s">
        <v>87</v>
      </c>
      <c r="I50" s="56" t="s">
        <v>21</v>
      </c>
      <c r="J50" s="57" t="n">
        <v>45760</v>
      </c>
      <c r="K50" s="56" t="n">
        <v>5</v>
      </c>
      <c r="L50" s="59" t="n">
        <v>0.43125</v>
      </c>
      <c r="M50" s="31" t="s">
        <v>544</v>
      </c>
      <c r="N50" s="60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 customFormat="false" ht="22.5" hidden="false" customHeight="true" outlineLevel="0" collapsed="false">
      <c r="A51" s="57" t="n">
        <v>45742</v>
      </c>
      <c r="B51" s="1" t="n">
        <v>6</v>
      </c>
      <c r="C51" s="56" t="str">
        <f aca="false">IF(ISBLANK(A51), "--", PROPER(TEXT(A51, "dddd")))</f>
        <v>Wednesday</v>
      </c>
      <c r="D51" s="56" t="s">
        <v>130</v>
      </c>
      <c r="E51" s="56" t="s">
        <v>17</v>
      </c>
      <c r="F51" s="60" t="s">
        <v>545</v>
      </c>
      <c r="G51" s="56" t="s">
        <v>19</v>
      </c>
      <c r="H51" s="56" t="s">
        <v>70</v>
      </c>
      <c r="I51" s="56" t="s">
        <v>21</v>
      </c>
      <c r="J51" s="57" t="n">
        <v>45743</v>
      </c>
      <c r="K51" s="56" t="n">
        <v>2</v>
      </c>
      <c r="L51" s="59" t="n">
        <v>0.0715277777777778</v>
      </c>
      <c r="M51" s="61" t="s">
        <v>546</v>
      </c>
      <c r="N51" s="60"/>
      <c r="O51" s="56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</row>
    <row r="52" customFormat="false" ht="22.5" hidden="false" customHeight="true" outlineLevel="0" collapsed="false">
      <c r="A52" s="57" t="n">
        <v>45742</v>
      </c>
      <c r="B52" s="1" t="n">
        <v>6</v>
      </c>
      <c r="C52" s="56" t="str">
        <f aca="false">IF(ISBLANK(A52), "--", PROPER(TEXT(A52, "dddd")))</f>
        <v>Wednesday</v>
      </c>
      <c r="D52" s="56" t="s">
        <v>16</v>
      </c>
      <c r="E52" s="56" t="s">
        <v>24</v>
      </c>
      <c r="F52" s="60" t="s">
        <v>547</v>
      </c>
      <c r="G52" s="56" t="s">
        <v>19</v>
      </c>
      <c r="H52" s="56" t="s">
        <v>24</v>
      </c>
      <c r="I52" s="56" t="s">
        <v>21</v>
      </c>
      <c r="J52" s="57" t="n">
        <v>45742</v>
      </c>
      <c r="K52" s="56" t="n">
        <v>0</v>
      </c>
      <c r="L52" s="59" t="n">
        <v>0</v>
      </c>
      <c r="M52" s="61" t="s">
        <v>548</v>
      </c>
      <c r="N52" s="60"/>
      <c r="O52" s="56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customFormat="false" ht="22.5" hidden="false" customHeight="true" outlineLevel="0" collapsed="false">
      <c r="A53" s="57" t="n">
        <v>45743</v>
      </c>
      <c r="B53" s="1" t="n">
        <v>6</v>
      </c>
      <c r="C53" s="56" t="str">
        <f aca="false">IF(ISBLANK(A53), "--", PROPER(TEXT(A53, "dddd")))</f>
        <v>Thursday</v>
      </c>
      <c r="D53" s="56" t="s">
        <v>85</v>
      </c>
      <c r="E53" s="56" t="s">
        <v>17</v>
      </c>
      <c r="F53" s="60" t="s">
        <v>549</v>
      </c>
      <c r="G53" s="56" t="s">
        <v>19</v>
      </c>
      <c r="H53" s="56" t="s">
        <v>70</v>
      </c>
      <c r="I53" s="56" t="s">
        <v>21</v>
      </c>
      <c r="J53" s="57" t="n">
        <v>45755</v>
      </c>
      <c r="K53" s="56" t="n">
        <v>5</v>
      </c>
      <c r="L53" s="59" t="n">
        <v>0.213194444444444</v>
      </c>
      <c r="M53" s="61" t="s">
        <v>550</v>
      </c>
      <c r="N53" s="60"/>
      <c r="O53" s="56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customFormat="false" ht="22.5" hidden="false" customHeight="true" outlineLevel="0" collapsed="false">
      <c r="A54" s="57" t="n">
        <v>45743</v>
      </c>
      <c r="B54" s="1" t="n">
        <v>6</v>
      </c>
      <c r="C54" s="56" t="str">
        <f aca="false">IF(ISBLANK(A54), "--", PROPER(TEXT(A54, "dddd")))</f>
        <v>Thursday</v>
      </c>
      <c r="D54" s="56" t="s">
        <v>16</v>
      </c>
      <c r="E54" s="56" t="s">
        <v>17</v>
      </c>
      <c r="F54" s="60" t="s">
        <v>551</v>
      </c>
      <c r="G54" s="56" t="s">
        <v>19</v>
      </c>
      <c r="H54" s="56" t="s">
        <v>449</v>
      </c>
      <c r="I54" s="56" t="s">
        <v>21</v>
      </c>
      <c r="J54" s="57" t="n">
        <v>45743</v>
      </c>
      <c r="K54" s="56" t="n">
        <v>1</v>
      </c>
      <c r="L54" s="59" t="n">
        <v>0.0215277777777778</v>
      </c>
      <c r="M54" s="61" t="s">
        <v>552</v>
      </c>
      <c r="N54" s="60"/>
      <c r="O54" s="56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 customFormat="false" ht="22.5" hidden="false" customHeight="true" outlineLevel="0" collapsed="false">
      <c r="A55" s="57" t="n">
        <v>45743</v>
      </c>
      <c r="B55" s="1" t="n">
        <v>6</v>
      </c>
      <c r="C55" s="56" t="str">
        <f aca="false">IF(ISBLANK(A55), "--", PROPER(TEXT(A55, "dddd")))</f>
        <v>Thursday</v>
      </c>
      <c r="D55" s="56" t="s">
        <v>134</v>
      </c>
      <c r="E55" s="56" t="s">
        <v>17</v>
      </c>
      <c r="F55" s="60" t="s">
        <v>553</v>
      </c>
      <c r="G55" s="56" t="s">
        <v>19</v>
      </c>
      <c r="H55" s="56" t="s">
        <v>449</v>
      </c>
      <c r="I55" s="56" t="s">
        <v>21</v>
      </c>
      <c r="J55" s="57" t="n">
        <v>45744</v>
      </c>
      <c r="K55" s="56" t="n">
        <v>1</v>
      </c>
      <c r="L55" s="59" t="n">
        <v>0.0965277777777778</v>
      </c>
      <c r="M55" s="61" t="s">
        <v>554</v>
      </c>
      <c r="N55" s="60"/>
      <c r="O55" s="56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customFormat="false" ht="22.5" hidden="false" customHeight="true" outlineLevel="0" collapsed="false">
      <c r="A56" s="57" t="n">
        <v>45744</v>
      </c>
      <c r="B56" s="1" t="n">
        <v>6</v>
      </c>
      <c r="C56" s="56" t="str">
        <f aca="false">IF(ISBLANK(A56), "--", PROPER(TEXT(A56, "dddd")))</f>
        <v>Friday</v>
      </c>
      <c r="D56" s="56" t="s">
        <v>16</v>
      </c>
      <c r="E56" s="56" t="s">
        <v>17</v>
      </c>
      <c r="F56" s="60" t="s">
        <v>555</v>
      </c>
      <c r="G56" s="56" t="s">
        <v>19</v>
      </c>
      <c r="H56" s="56" t="s">
        <v>449</v>
      </c>
      <c r="I56" s="56" t="s">
        <v>21</v>
      </c>
      <c r="J56" s="57" t="n">
        <v>45749</v>
      </c>
      <c r="K56" s="56" t="n">
        <v>5</v>
      </c>
      <c r="L56" s="59" t="n">
        <v>0.53125</v>
      </c>
      <c r="M56" s="61" t="s">
        <v>556</v>
      </c>
      <c r="N56" s="60"/>
      <c r="O56" s="56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 customFormat="false" ht="22.5" hidden="false" customHeight="true" outlineLevel="0" collapsed="false">
      <c r="A57" s="57" t="n">
        <v>45744</v>
      </c>
      <c r="B57" s="1" t="n">
        <v>6</v>
      </c>
      <c r="C57" s="56" t="str">
        <f aca="false">IF(ISBLANK(A57), "--", PROPER(TEXT(A57, "dddd")))</f>
        <v>Friday</v>
      </c>
      <c r="D57" s="56" t="s">
        <v>134</v>
      </c>
      <c r="E57" s="56" t="s">
        <v>17</v>
      </c>
      <c r="F57" s="60" t="s">
        <v>557</v>
      </c>
      <c r="G57" s="56" t="s">
        <v>19</v>
      </c>
      <c r="H57" s="56" t="s">
        <v>70</v>
      </c>
      <c r="I57" s="56" t="s">
        <v>21</v>
      </c>
      <c r="J57" s="57" t="n">
        <v>45744</v>
      </c>
      <c r="K57" s="56" t="n">
        <v>2</v>
      </c>
      <c r="L57" s="59" t="n">
        <v>0.136111111111111</v>
      </c>
      <c r="M57" s="31" t="s">
        <v>558</v>
      </c>
      <c r="N57" s="60"/>
      <c r="O57" s="56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 customFormat="false" ht="22.5" hidden="false" customHeight="true" outlineLevel="0" collapsed="false">
      <c r="A58" s="57" t="n">
        <v>45744</v>
      </c>
      <c r="B58" s="1" t="n">
        <v>6</v>
      </c>
      <c r="C58" s="56" t="str">
        <f aca="false">IF(ISBLANK(A58), "--", PROPER(TEXT(A58, "dddd")))</f>
        <v>Friday</v>
      </c>
      <c r="D58" s="56" t="s">
        <v>16</v>
      </c>
      <c r="E58" s="56" t="s">
        <v>17</v>
      </c>
      <c r="F58" s="60" t="s">
        <v>559</v>
      </c>
      <c r="G58" s="56" t="s">
        <v>48</v>
      </c>
      <c r="H58" s="56" t="s">
        <v>24</v>
      </c>
      <c r="I58" s="56" t="s">
        <v>21</v>
      </c>
      <c r="J58" s="57" t="n">
        <v>45761</v>
      </c>
      <c r="K58" s="56" t="n">
        <v>0</v>
      </c>
      <c r="L58" s="59" t="n">
        <v>0</v>
      </c>
      <c r="M58" s="31" t="s">
        <v>560</v>
      </c>
      <c r="N58" s="60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 customFormat="false" ht="22.5" hidden="false" customHeight="true" outlineLevel="0" collapsed="false">
      <c r="A59" s="55" t="n">
        <v>45747</v>
      </c>
      <c r="B59" s="1" t="n">
        <v>7</v>
      </c>
      <c r="C59" s="56" t="str">
        <f aca="false">IF(ISBLANK(A59), "--", PROPER(TEXT(A59, "dddd")))</f>
        <v>Monday</v>
      </c>
      <c r="D59" s="56" t="s">
        <v>104</v>
      </c>
      <c r="E59" s="56" t="s">
        <v>17</v>
      </c>
      <c r="F59" s="60" t="s">
        <v>561</v>
      </c>
      <c r="G59" s="56" t="s">
        <v>48</v>
      </c>
      <c r="H59" s="56" t="s">
        <v>449</v>
      </c>
      <c r="I59" s="56" t="s">
        <v>21</v>
      </c>
      <c r="J59" s="57" t="n">
        <v>45755</v>
      </c>
      <c r="K59" s="56" t="n">
        <v>1</v>
      </c>
      <c r="L59" s="59" t="n">
        <v>0.256944444444444</v>
      </c>
      <c r="M59" s="31" t="s">
        <v>562</v>
      </c>
      <c r="N59" s="60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 customFormat="false" ht="22.5" hidden="false" customHeight="true" outlineLevel="0" collapsed="false">
      <c r="A60" s="63" t="n">
        <v>45747</v>
      </c>
      <c r="B60" s="1" t="n">
        <v>7</v>
      </c>
      <c r="C60" s="56" t="str">
        <f aca="false">IF(ISBLANK(A60), "--", PROPER(TEXT(A60, "dddd")))</f>
        <v>Monday</v>
      </c>
      <c r="D60" s="56" t="s">
        <v>46</v>
      </c>
      <c r="E60" s="56" t="s">
        <v>17</v>
      </c>
      <c r="F60" s="60" t="s">
        <v>563</v>
      </c>
      <c r="G60" s="56" t="s">
        <v>19</v>
      </c>
      <c r="H60" s="56" t="s">
        <v>20</v>
      </c>
      <c r="I60" s="56" t="s">
        <v>21</v>
      </c>
      <c r="J60" s="57" t="n">
        <v>45747</v>
      </c>
      <c r="K60" s="56" t="n">
        <v>2</v>
      </c>
      <c r="L60" s="59" t="n">
        <v>0.145833333333333</v>
      </c>
      <c r="M60" s="31" t="s">
        <v>564</v>
      </c>
      <c r="N60" s="60"/>
      <c r="O60" s="56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 customFormat="false" ht="22.5" hidden="false" customHeight="true" outlineLevel="0" collapsed="false">
      <c r="A61" s="63" t="n">
        <v>45747</v>
      </c>
      <c r="B61" s="1" t="n">
        <v>7</v>
      </c>
      <c r="C61" s="56" t="str">
        <f aca="false">IF(ISBLANK(A61), "--", PROPER(TEXT(A61, "dddd")))</f>
        <v>Monday</v>
      </c>
      <c r="D61" s="56" t="s">
        <v>16</v>
      </c>
      <c r="E61" s="56" t="s">
        <v>17</v>
      </c>
      <c r="F61" s="60" t="s">
        <v>565</v>
      </c>
      <c r="G61" s="56" t="s">
        <v>19</v>
      </c>
      <c r="H61" s="56" t="s">
        <v>449</v>
      </c>
      <c r="I61" s="56" t="s">
        <v>21</v>
      </c>
      <c r="J61" s="57" t="n">
        <v>45747</v>
      </c>
      <c r="K61" s="56" t="n">
        <v>2</v>
      </c>
      <c r="L61" s="59" t="n">
        <v>0.229606481481482</v>
      </c>
      <c r="M61" s="61" t="s">
        <v>566</v>
      </c>
      <c r="N61" s="60"/>
      <c r="O61" s="56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</row>
    <row r="62" customFormat="false" ht="22.5" hidden="false" customHeight="true" outlineLevel="0" collapsed="false">
      <c r="A62" s="63" t="n">
        <v>45747</v>
      </c>
      <c r="B62" s="1" t="n">
        <v>7</v>
      </c>
      <c r="C62" s="56" t="str">
        <f aca="false">IF(ISBLANK(A62), "--", PROPER(TEXT(A62, "dddd")))</f>
        <v>Monday</v>
      </c>
      <c r="D62" s="56" t="s">
        <v>46</v>
      </c>
      <c r="E62" s="56" t="s">
        <v>17</v>
      </c>
      <c r="F62" s="60" t="s">
        <v>567</v>
      </c>
      <c r="G62" s="56" t="s">
        <v>19</v>
      </c>
      <c r="H62" s="56" t="s">
        <v>20</v>
      </c>
      <c r="I62" s="56" t="s">
        <v>21</v>
      </c>
      <c r="J62" s="57" t="n">
        <v>45750</v>
      </c>
      <c r="K62" s="56" t="n">
        <v>2</v>
      </c>
      <c r="L62" s="59" t="n">
        <v>0.240972222222222</v>
      </c>
      <c r="M62" s="31" t="s">
        <v>568</v>
      </c>
      <c r="N62" s="60"/>
      <c r="O62" s="56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 customFormat="false" ht="22.5" hidden="false" customHeight="true" outlineLevel="0" collapsed="false">
      <c r="A63" s="63" t="n">
        <v>45747</v>
      </c>
      <c r="B63" s="1" t="n">
        <v>7</v>
      </c>
      <c r="C63" s="56" t="str">
        <f aca="false">IF(ISBLANK(A63), "--", PROPER(TEXT(A63, "dddd")))</f>
        <v>Monday</v>
      </c>
      <c r="D63" s="56" t="s">
        <v>46</v>
      </c>
      <c r="E63" s="56" t="s">
        <v>17</v>
      </c>
      <c r="F63" s="60" t="s">
        <v>569</v>
      </c>
      <c r="G63" s="56" t="s">
        <v>19</v>
      </c>
      <c r="H63" s="56" t="s">
        <v>20</v>
      </c>
      <c r="I63" s="56" t="s">
        <v>21</v>
      </c>
      <c r="J63" s="57" t="n">
        <v>45756</v>
      </c>
      <c r="K63" s="56" t="n">
        <v>2</v>
      </c>
      <c r="L63" s="59" t="n">
        <v>0.331944444444444</v>
      </c>
      <c r="M63" s="31" t="s">
        <v>570</v>
      </c>
      <c r="N63" s="60"/>
      <c r="O63" s="56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 customFormat="false" ht="22.5" hidden="false" customHeight="true" outlineLevel="0" collapsed="false">
      <c r="A64" s="57" t="n">
        <v>45747</v>
      </c>
      <c r="B64" s="1" t="n">
        <v>7</v>
      </c>
      <c r="C64" s="56" t="s">
        <v>101</v>
      </c>
      <c r="D64" s="56" t="s">
        <v>16</v>
      </c>
      <c r="E64" s="56" t="s">
        <v>17</v>
      </c>
      <c r="F64" s="60" t="s">
        <v>571</v>
      </c>
      <c r="G64" s="56" t="s">
        <v>19</v>
      </c>
      <c r="H64" s="56" t="s">
        <v>24</v>
      </c>
      <c r="I64" s="56" t="s">
        <v>21</v>
      </c>
      <c r="J64" s="57" t="n">
        <v>45747</v>
      </c>
      <c r="K64" s="56" t="n">
        <v>0</v>
      </c>
      <c r="L64" s="59" t="n">
        <v>0</v>
      </c>
      <c r="M64" s="61" t="s">
        <v>572</v>
      </c>
      <c r="N64" s="60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 customFormat="false" ht="22.5" hidden="false" customHeight="true" outlineLevel="0" collapsed="false">
      <c r="A65" s="63" t="n">
        <v>45747</v>
      </c>
      <c r="B65" s="1" t="n">
        <v>7</v>
      </c>
      <c r="C65" s="56" t="s">
        <v>101</v>
      </c>
      <c r="D65" s="56" t="s">
        <v>145</v>
      </c>
      <c r="E65" s="56" t="s">
        <v>17</v>
      </c>
      <c r="F65" s="60" t="s">
        <v>573</v>
      </c>
      <c r="G65" s="56" t="s">
        <v>19</v>
      </c>
      <c r="H65" s="56" t="s">
        <v>141</v>
      </c>
      <c r="I65" s="56" t="s">
        <v>21</v>
      </c>
      <c r="J65" s="57" t="n">
        <v>45747</v>
      </c>
      <c r="K65" s="56" t="n">
        <v>2</v>
      </c>
      <c r="L65" s="59" t="n">
        <v>0.05</v>
      </c>
      <c r="M65" s="61" t="s">
        <v>574</v>
      </c>
      <c r="N65" s="60"/>
      <c r="O65" s="56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 customFormat="false" ht="15.75" hidden="false" customHeight="false" outlineLevel="0" collapsed="false">
      <c r="A66" s="44"/>
      <c r="B66" s="57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customFormat="false" ht="15.75" hidden="false" customHeight="false" outlineLevel="0" collapsed="false">
      <c r="A72" s="44"/>
      <c r="B72" s="57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customFormat="false" ht="15.75" hidden="false" customHeight="false" outlineLevel="0" collapsed="false">
      <c r="A74" s="44"/>
      <c r="B74" s="57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 customFormat="false" ht="15.75" hidden="false" customHeight="false" outlineLevel="0" collapsed="false">
      <c r="A75" s="44"/>
      <c r="B75" s="57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 customFormat="false" ht="15.75" hidden="false" customHeight="false" outlineLevel="0" collapsed="false">
      <c r="A76" s="44"/>
      <c r="B76" s="57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 customFormat="false" ht="15.75" hidden="false" customHeight="false" outlineLevel="0" collapsed="false">
      <c r="A77" s="44"/>
      <c r="B77" s="57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</row>
    <row r="914" customFormat="false" ht="15.75" hidden="false" customHeight="false" outlineLevel="0" collapsed="false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6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</row>
    <row r="915" customFormat="false" ht="15.75" hidden="false" customHeight="false" outlineLevel="0" collapsed="false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6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</row>
    <row r="916" customFormat="false" ht="15.75" hidden="false" customHeight="false" outlineLevel="0" collapsed="false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6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</row>
    <row r="917" customFormat="false" ht="15.75" hidden="false" customHeight="false" outlineLevel="0" collapsed="false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6"/>
      <c r="L917" s="44"/>
      <c r="M917" s="44"/>
      <c r="N917" s="44"/>
      <c r="O917" s="44"/>
    </row>
    <row r="918" customFormat="false" ht="15.75" hidden="false" customHeight="false" outlineLevel="0" collapsed="false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6"/>
      <c r="L918" s="44"/>
      <c r="M918" s="44"/>
      <c r="N918" s="44"/>
      <c r="O918" s="44"/>
    </row>
    <row r="919" customFormat="false" ht="15.75" hidden="false" customHeight="false" outlineLevel="0" collapsed="false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6"/>
      <c r="L919" s="44"/>
      <c r="M919" s="44"/>
      <c r="N919" s="44"/>
      <c r="O919" s="44"/>
    </row>
    <row r="920" customFormat="false" ht="15.75" hidden="false" customHeight="false" outlineLevel="0" collapsed="false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6"/>
      <c r="L920" s="44"/>
      <c r="M920" s="44"/>
      <c r="N920" s="44"/>
      <c r="O920" s="44"/>
    </row>
    <row r="921" customFormat="false" ht="15.75" hidden="false" customHeight="false" outlineLevel="0" collapsed="false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6"/>
      <c r="L921" s="44"/>
      <c r="M921" s="44"/>
      <c r="N921" s="44"/>
      <c r="O921" s="44"/>
    </row>
    <row r="922" customFormat="false" ht="15.75" hidden="false" customHeight="false" outlineLevel="0" collapsed="false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6"/>
      <c r="L922" s="44"/>
      <c r="M922" s="44"/>
      <c r="N922" s="44"/>
      <c r="O922" s="44"/>
    </row>
    <row r="923" customFormat="false" ht="15.75" hidden="false" customHeight="false" outlineLevel="0" collapsed="false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6"/>
      <c r="L923" s="44"/>
      <c r="M923" s="44"/>
      <c r="N923" s="44"/>
      <c r="O923" s="44"/>
    </row>
    <row r="924" customFormat="false" ht="15.75" hidden="false" customHeight="false" outlineLevel="0" collapsed="false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6"/>
      <c r="L924" s="44"/>
      <c r="M924" s="44"/>
      <c r="N924" s="44"/>
      <c r="O924" s="44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false" outlineLevel="0" collapsed="false">
      <c r="B936" s="44"/>
      <c r="K936" s="46"/>
    </row>
    <row r="937" customFormat="false" ht="15.75" hidden="false" customHeight="false" outlineLevel="0" collapsed="false">
      <c r="B937" s="44"/>
      <c r="K937" s="46"/>
    </row>
    <row r="938" customFormat="false" ht="15.75" hidden="false" customHeight="false" outlineLevel="0" collapsed="false">
      <c r="B938" s="44"/>
      <c r="K938" s="46"/>
    </row>
    <row r="939" customFormat="false" ht="15.75" hidden="false" customHeight="false" outlineLevel="0" collapsed="false">
      <c r="B939" s="44"/>
      <c r="K939" s="46"/>
    </row>
    <row r="940" customFormat="false" ht="15.75" hidden="false" customHeight="false" outlineLevel="0" collapsed="false">
      <c r="B940" s="44"/>
      <c r="K940" s="46"/>
    </row>
    <row r="941" customFormat="false" ht="15.75" hidden="false" customHeight="false" outlineLevel="0" collapsed="false">
      <c r="B941" s="44"/>
      <c r="K941" s="46"/>
    </row>
    <row r="942" customFormat="false" ht="15.75" hidden="false" customHeight="false" outlineLevel="0" collapsed="false">
      <c r="B942" s="44"/>
      <c r="K942" s="46"/>
    </row>
    <row r="943" customFormat="false" ht="15.75" hidden="false" customHeight="false" outlineLevel="0" collapsed="false">
      <c r="B943" s="44"/>
      <c r="K943" s="46"/>
    </row>
    <row r="944" customFormat="false" ht="15.75" hidden="false" customHeight="false" outlineLevel="0" collapsed="false">
      <c r="B944" s="44"/>
      <c r="K944" s="46"/>
    </row>
    <row r="945" customFormat="false" ht="15.75" hidden="false" customHeight="false" outlineLevel="0" collapsed="false">
      <c r="B945" s="44"/>
      <c r="K945" s="46"/>
    </row>
    <row r="946" customFormat="false" ht="15.75" hidden="false" customHeight="false" outlineLevel="0" collapsed="false">
      <c r="B946" s="44"/>
      <c r="K946" s="46"/>
    </row>
    <row r="947" customFormat="false" ht="15.75" hidden="false" customHeight="false" outlineLevel="0" collapsed="false">
      <c r="B947" s="44"/>
      <c r="K947" s="46"/>
    </row>
    <row r="948" customFormat="false" ht="15.75" hidden="false" customHeight="false" outlineLevel="0" collapsed="false">
      <c r="B948" s="44"/>
      <c r="K948" s="46"/>
    </row>
    <row r="949" customFormat="false" ht="15.75" hidden="false" customHeight="false" outlineLevel="0" collapsed="false">
      <c r="B949" s="44"/>
      <c r="K949" s="46"/>
    </row>
    <row r="950" customFormat="false" ht="15.75" hidden="false" customHeight="false" outlineLevel="0" collapsed="false">
      <c r="B950" s="44"/>
      <c r="K950" s="46"/>
    </row>
    <row r="951" customFormat="false" ht="15.75" hidden="false" customHeight="false" outlineLevel="0" collapsed="false">
      <c r="B951" s="44"/>
      <c r="K951" s="46"/>
    </row>
    <row r="952" customFormat="false" ht="15.75" hidden="false" customHeight="false" outlineLevel="0" collapsed="false">
      <c r="B952" s="44"/>
      <c r="K952" s="46"/>
    </row>
    <row r="953" customFormat="false" ht="15.75" hidden="false" customHeight="false" outlineLevel="0" collapsed="false">
      <c r="B953" s="44"/>
      <c r="K953" s="46"/>
    </row>
    <row r="954" customFormat="false" ht="15.75" hidden="false" customHeight="false" outlineLevel="0" collapsed="false">
      <c r="B954" s="44"/>
      <c r="K954" s="46"/>
    </row>
    <row r="955" customFormat="false" ht="15.75" hidden="false" customHeight="false" outlineLevel="0" collapsed="false">
      <c r="B955" s="44"/>
      <c r="K955" s="46"/>
    </row>
    <row r="956" customFormat="false" ht="15.75" hidden="false" customHeight="false" outlineLevel="0" collapsed="false">
      <c r="B956" s="44"/>
      <c r="K956" s="46"/>
    </row>
    <row r="957" customFormat="false" ht="15.75" hidden="false" customHeight="false" outlineLevel="0" collapsed="false">
      <c r="B957" s="44"/>
      <c r="K957" s="46"/>
    </row>
    <row r="958" customFormat="false" ht="15.75" hidden="false" customHeight="false" outlineLevel="0" collapsed="false">
      <c r="B958" s="44"/>
      <c r="K958" s="46"/>
    </row>
    <row r="959" customFormat="false" ht="15.75" hidden="false" customHeight="false" outlineLevel="0" collapsed="false">
      <c r="B959" s="44"/>
      <c r="K959" s="46"/>
    </row>
    <row r="960" customFormat="false" ht="15.75" hidden="false" customHeight="false" outlineLevel="0" collapsed="false">
      <c r="B960" s="44"/>
      <c r="K960" s="46"/>
    </row>
    <row r="961" customFormat="false" ht="15.75" hidden="false" customHeight="false" outlineLevel="0" collapsed="false">
      <c r="B961" s="44"/>
      <c r="K961" s="46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10">
    <dataValidation allowBlank="true" errorStyle="stop" operator="between" showDropDown="true" showErrorMessage="false" showInputMessage="false" sqref="F2:F65 N2:N65" type="none">
      <formula1>0</formula1>
      <formula2>0</formula2>
    </dataValidation>
    <dataValidation allowBlank="true" errorStyle="stop" operator="between" showDropDown="false" showErrorMessage="true" showInputMessage="false" sqref="C2:C65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D2:D65" type="list">
      <formula1>"Faktur,Backpro,Zuckerman,Facialart,Dejusticia,Happycinamon,Nulab,Ncarb,ECOS,IDK,BMS,--,Swapps,WWilson,Tabby,Smart Web Apps,Comfinagro,IMC,Geosig"</formula1>
      <formula2>0</formula2>
    </dataValidation>
    <dataValidation allowBlank="true" errorStyle="stop" operator="between" showDropDown="false" showErrorMessage="true" showInputMessage="false" sqref="G2:G65" type="list">
      <formula1>"Alta,Normal,Urgente,Baja,--"</formula1>
      <formula2>0</formula2>
    </dataValidation>
    <dataValidation allowBlank="true" errorStyle="stop" operator="between" showDropDown="false" showErrorMessage="false" showInputMessage="false" sqref="I2:I65" type="list">
      <formula1>"Closed,Ready for testing ,Open,Under review,Partially Done,In progress,Approved,--,Needs more work,Deploy to production"</formula1>
      <formula2>0</formula2>
    </dataValidation>
    <dataValidation allowBlank="true" errorStyle="stop" operator="between" showDropDown="true" showErrorMessage="false" showInputMessage="false" sqref="A2:A65 J2:J65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E2:E65" type="list">
      <formula1>"Ajustes,Soporte,Mejoras,Corrección,Configuraciones,Revisión,--,Pagina Web,IT,Error,Blue,SOLICITUD ,PENDIENTE"</formula1>
      <formula2>0</formula2>
    </dataValidation>
    <dataValidation allowBlank="true" errorStyle="stop" operator="between" showDropDown="true" showErrorMessage="false" showInputMessage="false" sqref="K2:K65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H2:H65" type="list">
      <formula1>"Iván,Carlos,Gustavo,Diego,Andrés,JC,José,Héctor,Mateo,--,Blue,Carlos M,Johan"</formula1>
      <formula2>0</formula2>
    </dataValidation>
    <dataValidation allowBlank="true" errorStyle="stop" operator="between" showDropDown="true" showErrorMessage="false" showInputMessage="false" sqref="B66 B72 B74:B77" type="custom">
      <formula1>OR(NOT(ISERROR(DATEVALUE(A2))), AND(ISNUMBER(A2), LEFT(CELL("format", A2))="D"))</formula1>
      <formula2>0</formula2>
    </dataValidation>
  </dataValidations>
  <hyperlinks>
    <hyperlink ref="M2" r:id="rId2" display="https://app.clickup.com/t/86b44hejw"/>
    <hyperlink ref="M3" r:id="rId3" display="https://app.clickup.com/t/86b44h0p8"/>
    <hyperlink ref="M4" r:id="rId4" display="https://app.clickup.com/t/86b44h79f"/>
    <hyperlink ref="M5" r:id="rId5" display="https://app.clickup.com/t/86b44jrj0"/>
    <hyperlink ref="M6" r:id="rId6" display="https://app.clickup.com/t/86b44mqhj"/>
    <hyperlink ref="M7" r:id="rId7" display="https://app.clickup.com/t/86b44nhg6"/>
    <hyperlink ref="M8" r:id="rId8" display="https://app.clickup.com/t/86b452d97"/>
    <hyperlink ref="F9" r:id="rId9" display="[Support FA] Excessive spam in the contact form on FacialArt.com"/>
    <hyperlink ref="M9" r:id="rId10" display="https://app.clickup.com/t/86b452p32"/>
    <hyperlink ref="M10" r:id="rId11" display="https://app.clickup.com/t/86b452yhx"/>
    <hyperlink ref="M11" r:id="rId12" display="https://app.clickup.com/t/86b44d6cj"/>
    <hyperlink ref="M12" r:id="rId13" display="https://app.clickup.com/t/86b453ezq"/>
    <hyperlink ref="M13" r:id="rId14" display="https://app.clickup.com/t/86b45f9dr"/>
    <hyperlink ref="M14" r:id="rId15" display="https://app.clickup.com/t/86b45hr7c"/>
    <hyperlink ref="M15" r:id="rId16" display="https://app.clickup.com/t/86b45kmub"/>
    <hyperlink ref="M16" r:id="rId17" display="https://app.clickup.com/t/86b46134n"/>
    <hyperlink ref="M17" r:id="rId18" display="https://app.clickup.com/t/86b4614xr"/>
    <hyperlink ref="M18" r:id="rId19" display="https://app.clickup.com/t/86b461xyu"/>
    <hyperlink ref="M19" r:id="rId20" display="https://app.clickup.com/t/86b462mpz"/>
    <hyperlink ref="M20" r:id="rId21" display="https://app.clickup.com/t/86b465xmt"/>
    <hyperlink ref="M21" r:id="rId22" display="https://app.clickup.com/t/86b478r6v"/>
    <hyperlink ref="M22" r:id="rId23" display="https://app.clickup.com/t/86b46jvqg"/>
    <hyperlink ref="M23" r:id="rId24" display="https://app.clickup.com/t/86b46nkr5"/>
    <hyperlink ref="M24" r:id="rId25" display="https://app.clickup.com/t/86b46ptpx"/>
    <hyperlink ref="M25" r:id="rId26" display="https://app.clickup.com/t/86b46prnf"/>
    <hyperlink ref="M26" r:id="rId27" display="https://app.clickup.com/t/86b46pu06"/>
    <hyperlink ref="M27" r:id="rId28" display="https://app.clickup.com/t/86b47burm"/>
    <hyperlink ref="M28" r:id="rId29" display="https://app.clickup.com/t/86b47bvb6"/>
    <hyperlink ref="M29" r:id="rId30" display="https://app.clickup.com/t/86b48b7ud"/>
    <hyperlink ref="M30" r:id="rId31" display="https://app.clickup.com/t/86b48kw88"/>
    <hyperlink ref="M31" r:id="rId32" display="https://app.clickup.com/t/86b48r6nm"/>
    <hyperlink ref="M32" r:id="rId33" display="https://app.clickup.com/t/86b49xyr9"/>
    <hyperlink ref="M33" r:id="rId34" display="https://app.clickup.com/t/86b4a1n93"/>
    <hyperlink ref="M34" r:id="rId35" display="https://app.clickup.com/t/86b49v531"/>
    <hyperlink ref="M35" r:id="rId36" display="https://app.clickup.com/t/86b49xtnj"/>
    <hyperlink ref="M36" r:id="rId37" display="https://app.clickup.com/t/86b49xty0"/>
    <hyperlink ref="M37" r:id="rId38" display="https://app.clickup.com/t/86b49xu75"/>
    <hyperlink ref="M38" r:id="rId39" display="https://app.clickup.com/t/86b49xuge"/>
    <hyperlink ref="M39" r:id="rId40" display="https://app.clickup.com/t/86b49xup4"/>
    <hyperlink ref="M40" r:id="rId41" display="https://app.clickup.com/t/86b49yk3k"/>
    <hyperlink ref="M41" r:id="rId42" display="https://app.clickup.com/t/86b4azkhe"/>
    <hyperlink ref="M42" r:id="rId43" display="https://app.clickup.com/t/86b4b3pgg"/>
    <hyperlink ref="M43" r:id="rId44" display="https://app.clickup.com/t/86b4b4qr7"/>
    <hyperlink ref="M44" r:id="rId45" display="https://app.clickup.com/t/86b4bcw8v"/>
    <hyperlink ref="M45" r:id="rId46" display="https://app.clickup.com/t/86b4bf9fp"/>
    <hyperlink ref="M46" r:id="rId47" display="https://app.clickup.com/t/86b4bfy1z"/>
    <hyperlink ref="M47" r:id="rId48" display="https://app.clickup.com/t/86b4bc9md"/>
    <hyperlink ref="M48" r:id="rId49" display="https://app.clickup.com/t/86b4bgtnj"/>
    <hyperlink ref="M49" r:id="rId50" display="https://app.clickup.com/t/86b4byrfz"/>
    <hyperlink ref="M50" r:id="rId51" display="https://app.clickup.com/t/86b4ddqmy"/>
    <hyperlink ref="M51" r:id="rId52" display="https://app.clickup.com/t/86b4dh3f4"/>
    <hyperlink ref="M52" r:id="rId53" display="https://app.clickup.com/t/86b4dp2pm"/>
    <hyperlink ref="M53" r:id="rId54" display="https://app.clickup.com/t/86b4dwg89"/>
    <hyperlink ref="M54" r:id="rId55" display="https://app.clickup.com/t/86b4dyrb2"/>
    <hyperlink ref="M55" r:id="rId56" display="https://app.clickup.com/t/86b4e0p9z"/>
    <hyperlink ref="M56" r:id="rId57" display="https://app.clickup.com/t/86b4ednwz"/>
    <hyperlink ref="M57" r:id="rId58" display="https://app.clickup.com/t/86b4eektz"/>
    <hyperlink ref="M58" r:id="rId59" display="https://app.clickup.com/t/86b4f567z"/>
    <hyperlink ref="M59" r:id="rId60" display="https://app.clickup.com/t/454056/ZL-1547"/>
    <hyperlink ref="M60" r:id="rId61" display="https://app.clickup.com/t/86b4f4ze6"/>
    <hyperlink ref="M61" r:id="rId62" display="https://app.clickup.com/t/86b4f5tw2"/>
    <hyperlink ref="M62" r:id="rId63" display="https://app.clickup.com/t/86b4fbpak"/>
    <hyperlink ref="M63" r:id="rId64" display="https://app.clickup.com/t/86b4fbpyg"/>
    <hyperlink ref="M64" r:id="rId65" display="https://app.clickup.com/t/86b4frwuj"/>
    <hyperlink ref="M65" r:id="rId66" display="https://app.clickup.com/t/86b4f6xac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67"/>
  <tableParts>
    <tablePart r:id="rId6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true"/>
  </sheetPr>
  <dimension ref="A1:AH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B20" activeCellId="0" sqref="B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5.13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23.63"/>
    <col collapsed="false" customWidth="true" hidden="false" outlineLevel="0" max="15" min="15" style="1" width="64.89"/>
  </cols>
  <sheetData>
    <row r="1" customFormat="false" ht="22.5" hidden="false" customHeight="true" outlineLevel="0" collapsed="false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3" t="s">
        <v>13</v>
      </c>
      <c r="O1" s="51" t="s">
        <v>14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customFormat="false" ht="22.5" hidden="false" customHeight="true" outlineLevel="0" collapsed="false">
      <c r="A2" s="63" t="n">
        <v>45748</v>
      </c>
      <c r="B2" s="1" t="n">
        <v>7</v>
      </c>
      <c r="C2" s="75" t="str">
        <f aca="false">IF(ISBLANK(A2), "--", PROPER(TEXT(A2, "dddd")))</f>
        <v>Tuesday</v>
      </c>
      <c r="D2" s="56" t="s">
        <v>16</v>
      </c>
      <c r="E2" s="56" t="s">
        <v>17</v>
      </c>
      <c r="F2" s="32" t="s">
        <v>575</v>
      </c>
      <c r="G2" s="56" t="s">
        <v>77</v>
      </c>
      <c r="H2" s="56" t="s">
        <v>24</v>
      </c>
      <c r="I2" s="56" t="s">
        <v>21</v>
      </c>
      <c r="J2" s="57" t="n">
        <v>45748</v>
      </c>
      <c r="K2" s="58" t="n">
        <v>0</v>
      </c>
      <c r="L2" s="56" t="n">
        <v>0</v>
      </c>
      <c r="M2" s="31" t="s">
        <v>576</v>
      </c>
      <c r="N2" s="60"/>
      <c r="O2" s="56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customFormat="false" ht="22.5" hidden="false" customHeight="true" outlineLevel="0" collapsed="false">
      <c r="A3" s="57" t="n">
        <v>45748</v>
      </c>
      <c r="B3" s="1" t="n">
        <v>7</v>
      </c>
      <c r="C3" s="75" t="str">
        <f aca="false">IF(ISBLANK(A3), "--", PROPER(TEXT(A3, "dddd")))</f>
        <v>Tuesday</v>
      </c>
      <c r="D3" s="56" t="s">
        <v>16</v>
      </c>
      <c r="E3" s="56" t="s">
        <v>17</v>
      </c>
      <c r="F3" s="60" t="s">
        <v>577</v>
      </c>
      <c r="G3" s="56" t="s">
        <v>48</v>
      </c>
      <c r="H3" s="56" t="s">
        <v>24</v>
      </c>
      <c r="I3" s="56" t="s">
        <v>21</v>
      </c>
      <c r="J3" s="57" t="n">
        <v>45754</v>
      </c>
      <c r="K3" s="58" t="n">
        <v>0</v>
      </c>
      <c r="L3" s="56" t="n">
        <v>0</v>
      </c>
      <c r="M3" s="61" t="s">
        <v>578</v>
      </c>
      <c r="N3" s="60"/>
      <c r="O3" s="56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customFormat="false" ht="22.5" hidden="false" customHeight="true" outlineLevel="0" collapsed="false">
      <c r="A4" s="57" t="n">
        <v>45748</v>
      </c>
      <c r="B4" s="1" t="n">
        <v>7</v>
      </c>
      <c r="C4" s="75" t="str">
        <f aca="false">IF(ISBLANK(A4), "--", PROPER(TEXT(A4, "dddd")))</f>
        <v>Tuesday</v>
      </c>
      <c r="D4" s="56" t="s">
        <v>145</v>
      </c>
      <c r="E4" s="56" t="s">
        <v>139</v>
      </c>
      <c r="F4" s="60" t="s">
        <v>579</v>
      </c>
      <c r="G4" s="56" t="s">
        <v>77</v>
      </c>
      <c r="H4" s="56" t="s">
        <v>141</v>
      </c>
      <c r="I4" s="56" t="s">
        <v>21</v>
      </c>
      <c r="J4" s="57" t="n">
        <v>45748</v>
      </c>
      <c r="K4" s="58" t="n">
        <v>2</v>
      </c>
      <c r="L4" s="59" t="n">
        <v>0.0908101851851852</v>
      </c>
      <c r="M4" s="61" t="s">
        <v>580</v>
      </c>
      <c r="N4" s="60"/>
      <c r="O4" s="56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customFormat="false" ht="22.5" hidden="false" customHeight="true" outlineLevel="0" collapsed="false">
      <c r="A5" s="57" t="n">
        <v>45748</v>
      </c>
      <c r="B5" s="1" t="n">
        <v>7</v>
      </c>
      <c r="C5" s="75" t="str">
        <f aca="false">IF(ISBLANK(A5), "--", PROPER(TEXT(A5, "dddd")))</f>
        <v>Tuesday</v>
      </c>
      <c r="D5" s="56" t="s">
        <v>16</v>
      </c>
      <c r="E5" s="56" t="s">
        <v>17</v>
      </c>
      <c r="F5" s="60" t="s">
        <v>280</v>
      </c>
      <c r="G5" s="56" t="s">
        <v>77</v>
      </c>
      <c r="H5" s="56" t="s">
        <v>20</v>
      </c>
      <c r="I5" s="56" t="s">
        <v>21</v>
      </c>
      <c r="J5" s="57" t="n">
        <v>45748</v>
      </c>
      <c r="K5" s="58" t="n">
        <v>2</v>
      </c>
      <c r="L5" s="59" t="n">
        <v>0.124305555555556</v>
      </c>
      <c r="M5" s="61" t="s">
        <v>581</v>
      </c>
      <c r="N5" s="60"/>
      <c r="O5" s="56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</row>
    <row r="6" customFormat="false" ht="22.5" hidden="false" customHeight="true" outlineLevel="0" collapsed="false">
      <c r="A6" s="57" t="n">
        <v>45749</v>
      </c>
      <c r="B6" s="1" t="n">
        <v>7</v>
      </c>
      <c r="C6" s="75" t="str">
        <f aca="false">IF(ISBLANK(A6), "--", PROPER(TEXT(A6, "dddd")))</f>
        <v>Wednesday</v>
      </c>
      <c r="D6" s="56" t="s">
        <v>145</v>
      </c>
      <c r="E6" s="56" t="s">
        <v>139</v>
      </c>
      <c r="F6" s="60" t="s">
        <v>582</v>
      </c>
      <c r="G6" s="56" t="s">
        <v>48</v>
      </c>
      <c r="H6" s="56" t="s">
        <v>141</v>
      </c>
      <c r="I6" s="56" t="s">
        <v>21</v>
      </c>
      <c r="J6" s="57" t="n">
        <v>45749</v>
      </c>
      <c r="K6" s="58" t="n">
        <v>0.5</v>
      </c>
      <c r="L6" s="59" t="n">
        <v>0.0243055555555556</v>
      </c>
      <c r="M6" s="61" t="s">
        <v>583</v>
      </c>
      <c r="N6" s="60"/>
      <c r="O6" s="56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customFormat="false" ht="22.5" hidden="false" customHeight="true" outlineLevel="0" collapsed="false">
      <c r="A7" s="57" t="n">
        <v>45750</v>
      </c>
      <c r="B7" s="1" t="n">
        <v>7</v>
      </c>
      <c r="C7" s="75" t="str">
        <f aca="false">IF(ISBLANK(A7), "--", PROPER(TEXT(A7, "dddd")))</f>
        <v>Thursday</v>
      </c>
      <c r="D7" s="56" t="s">
        <v>16</v>
      </c>
      <c r="E7" s="56" t="s">
        <v>17</v>
      </c>
      <c r="F7" s="60" t="s">
        <v>584</v>
      </c>
      <c r="G7" s="56" t="s">
        <v>19</v>
      </c>
      <c r="H7" s="56" t="s">
        <v>24</v>
      </c>
      <c r="I7" s="56" t="s">
        <v>21</v>
      </c>
      <c r="J7" s="57" t="n">
        <v>45750</v>
      </c>
      <c r="K7" s="58" t="n">
        <v>0</v>
      </c>
      <c r="L7" s="56" t="n">
        <v>0</v>
      </c>
      <c r="M7" s="61" t="s">
        <v>585</v>
      </c>
      <c r="N7" s="60"/>
      <c r="O7" s="56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customFormat="false" ht="22.5" hidden="false" customHeight="true" outlineLevel="0" collapsed="false">
      <c r="A8" s="57" t="n">
        <v>45750</v>
      </c>
      <c r="B8" s="1" t="n">
        <v>7</v>
      </c>
      <c r="C8" s="75" t="str">
        <f aca="false">IF(ISBLANK(A8), "--", PROPER(TEXT(A8, "dddd")))</f>
        <v>Thursday</v>
      </c>
      <c r="D8" s="56" t="s">
        <v>145</v>
      </c>
      <c r="E8" s="56" t="s">
        <v>139</v>
      </c>
      <c r="F8" s="60" t="s">
        <v>586</v>
      </c>
      <c r="G8" s="56" t="s">
        <v>48</v>
      </c>
      <c r="H8" s="56" t="s">
        <v>141</v>
      </c>
      <c r="I8" s="56" t="s">
        <v>21</v>
      </c>
      <c r="J8" s="57" t="n">
        <v>45750</v>
      </c>
      <c r="K8" s="56" t="n">
        <v>1</v>
      </c>
      <c r="L8" s="59" t="n">
        <v>0.0486111111111111</v>
      </c>
      <c r="M8" s="31" t="s">
        <v>587</v>
      </c>
      <c r="N8" s="60"/>
      <c r="O8" s="56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customFormat="false" ht="22.5" hidden="false" customHeight="true" outlineLevel="0" collapsed="false">
      <c r="A9" s="57" t="n">
        <v>45751</v>
      </c>
      <c r="B9" s="1" t="n">
        <v>7</v>
      </c>
      <c r="C9" s="75" t="str">
        <f aca="false">IF(ISBLANK(A9), "--", PROPER(TEXT(A9, "dddd")))</f>
        <v>Friday</v>
      </c>
      <c r="D9" s="56" t="s">
        <v>145</v>
      </c>
      <c r="E9" s="56" t="s">
        <v>139</v>
      </c>
      <c r="F9" s="60" t="s">
        <v>588</v>
      </c>
      <c r="G9" s="56" t="s">
        <v>48</v>
      </c>
      <c r="H9" s="56" t="s">
        <v>141</v>
      </c>
      <c r="I9" s="56" t="s">
        <v>21</v>
      </c>
      <c r="J9" s="57" t="n">
        <v>45751</v>
      </c>
      <c r="K9" s="56" t="n">
        <v>0.5</v>
      </c>
      <c r="L9" s="59" t="n">
        <v>0.00486111111111111</v>
      </c>
      <c r="M9" s="31" t="s">
        <v>589</v>
      </c>
      <c r="N9" s="60"/>
      <c r="O9" s="56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customFormat="false" ht="22.5" hidden="false" customHeight="true" outlineLevel="0" collapsed="false">
      <c r="A10" s="57" t="n">
        <v>45751</v>
      </c>
      <c r="B10" s="1" t="n">
        <v>7</v>
      </c>
      <c r="C10" s="75" t="str">
        <f aca="false">IF(ISBLANK(A10), "--", PROPER(TEXT(A10, "dddd")))</f>
        <v>Friday</v>
      </c>
      <c r="D10" s="56" t="s">
        <v>145</v>
      </c>
      <c r="E10" s="56" t="s">
        <v>139</v>
      </c>
      <c r="F10" s="60" t="s">
        <v>590</v>
      </c>
      <c r="G10" s="56" t="s">
        <v>48</v>
      </c>
      <c r="H10" s="56" t="s">
        <v>141</v>
      </c>
      <c r="I10" s="56" t="s">
        <v>21</v>
      </c>
      <c r="J10" s="57" t="n">
        <v>45751</v>
      </c>
      <c r="K10" s="56" t="n">
        <v>0.5</v>
      </c>
      <c r="L10" s="59" t="n">
        <v>0.0375</v>
      </c>
      <c r="M10" s="31" t="s">
        <v>591</v>
      </c>
      <c r="N10" s="60"/>
      <c r="O10" s="56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 customFormat="false" ht="22.5" hidden="false" customHeight="true" outlineLevel="0" collapsed="false">
      <c r="A11" s="57" t="n">
        <v>45751</v>
      </c>
      <c r="B11" s="1" t="n">
        <v>7</v>
      </c>
      <c r="C11" s="75" t="str">
        <f aca="false">IF(ISBLANK(A11), "--", PROPER(TEXT(A11, "dddd")))</f>
        <v>Friday</v>
      </c>
      <c r="D11" s="56" t="s">
        <v>46</v>
      </c>
      <c r="E11" s="56" t="s">
        <v>17</v>
      </c>
      <c r="F11" s="60" t="s">
        <v>592</v>
      </c>
      <c r="G11" s="56" t="s">
        <v>48</v>
      </c>
      <c r="H11" s="56" t="s">
        <v>449</v>
      </c>
      <c r="I11" s="56" t="s">
        <v>21</v>
      </c>
      <c r="J11" s="57" t="n">
        <v>45758</v>
      </c>
      <c r="K11" s="56" t="n">
        <v>1</v>
      </c>
      <c r="L11" s="59" t="n">
        <v>0.160416666666667</v>
      </c>
      <c r="M11" s="31" t="s">
        <v>593</v>
      </c>
      <c r="N11" s="60"/>
      <c r="O11" s="56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 customFormat="false" ht="22.5" hidden="false" customHeight="true" outlineLevel="0" collapsed="false">
      <c r="A12" s="57" t="n">
        <v>45751</v>
      </c>
      <c r="B12" s="1" t="n">
        <v>7</v>
      </c>
      <c r="C12" s="75" t="str">
        <f aca="false">IF(ISBLANK(A12), "--", PROPER(TEXT(A12, "dddd")))</f>
        <v>Friday</v>
      </c>
      <c r="D12" s="56" t="s">
        <v>594</v>
      </c>
      <c r="E12" s="56" t="s">
        <v>17</v>
      </c>
      <c r="F12" s="60" t="s">
        <v>595</v>
      </c>
      <c r="G12" s="56" t="s">
        <v>77</v>
      </c>
      <c r="H12" s="56" t="s">
        <v>449</v>
      </c>
      <c r="I12" s="56" t="s">
        <v>21</v>
      </c>
      <c r="J12" s="57" t="n">
        <v>45755</v>
      </c>
      <c r="K12" s="56" t="n">
        <v>2</v>
      </c>
      <c r="L12" s="59" t="n">
        <v>0.0862268518518519</v>
      </c>
      <c r="M12" s="61" t="s">
        <v>596</v>
      </c>
      <c r="N12" s="60"/>
      <c r="O12" s="56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</row>
    <row r="13" customFormat="false" ht="22.5" hidden="false" customHeight="true" outlineLevel="0" collapsed="false">
      <c r="A13" s="57" t="n">
        <v>45754</v>
      </c>
      <c r="B13" s="1" t="n">
        <v>7</v>
      </c>
      <c r="C13" s="75" t="str">
        <f aca="false">IF(ISBLANK(A13), "--", PROPER(TEXT(A13, "dddd")))</f>
        <v>Monday</v>
      </c>
      <c r="D13" s="56" t="s">
        <v>46</v>
      </c>
      <c r="E13" s="56" t="s">
        <v>17</v>
      </c>
      <c r="F13" s="60" t="s">
        <v>597</v>
      </c>
      <c r="G13" s="56" t="s">
        <v>77</v>
      </c>
      <c r="H13" s="56" t="s">
        <v>20</v>
      </c>
      <c r="I13" s="56" t="s">
        <v>21</v>
      </c>
      <c r="J13" s="57" t="n">
        <v>45754</v>
      </c>
      <c r="K13" s="56" t="n">
        <v>2</v>
      </c>
      <c r="L13" s="59" t="n">
        <v>0.0416666666666667</v>
      </c>
      <c r="M13" s="31" t="s">
        <v>598</v>
      </c>
      <c r="N13" s="60"/>
      <c r="O13" s="56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</row>
    <row r="14" customFormat="false" ht="22.5" hidden="false" customHeight="true" outlineLevel="0" collapsed="false">
      <c r="A14" s="57" t="n">
        <v>45754</v>
      </c>
      <c r="B14" s="1" t="n">
        <v>7</v>
      </c>
      <c r="C14" s="75" t="str">
        <f aca="false">IF(ISBLANK(A14), "--", PROPER(TEXT(A14, "dddd")))</f>
        <v>Monday</v>
      </c>
      <c r="D14" s="56" t="s">
        <v>46</v>
      </c>
      <c r="E14" s="56" t="s">
        <v>17</v>
      </c>
      <c r="F14" s="60" t="s">
        <v>599</v>
      </c>
      <c r="G14" s="56" t="s">
        <v>48</v>
      </c>
      <c r="H14" s="56" t="s">
        <v>20</v>
      </c>
      <c r="I14" s="56" t="s">
        <v>21</v>
      </c>
      <c r="J14" s="57" t="n">
        <v>45754</v>
      </c>
      <c r="K14" s="56" t="n">
        <v>1</v>
      </c>
      <c r="L14" s="59" t="n">
        <v>0.0416666666666667</v>
      </c>
      <c r="M14" s="61" t="s">
        <v>600</v>
      </c>
      <c r="N14" s="60"/>
      <c r="O14" s="56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customFormat="false" ht="22.5" hidden="false" customHeight="true" outlineLevel="0" collapsed="false">
      <c r="A15" s="57" t="n">
        <v>45754</v>
      </c>
      <c r="B15" s="1" t="n">
        <v>7</v>
      </c>
      <c r="C15" s="75" t="str">
        <f aca="false">IF(ISBLANK(A15), "--", PROPER(TEXT(A15, "dddd")))</f>
        <v>Monday</v>
      </c>
      <c r="D15" s="56" t="s">
        <v>145</v>
      </c>
      <c r="E15" s="56" t="s">
        <v>139</v>
      </c>
      <c r="F15" s="60" t="s">
        <v>601</v>
      </c>
      <c r="G15" s="56" t="s">
        <v>48</v>
      </c>
      <c r="H15" s="56" t="s">
        <v>141</v>
      </c>
      <c r="I15" s="56" t="s">
        <v>21</v>
      </c>
      <c r="J15" s="57" t="n">
        <v>45755</v>
      </c>
      <c r="K15" s="56" t="n">
        <v>1</v>
      </c>
      <c r="L15" s="59" t="n">
        <v>0.0277777777777778</v>
      </c>
      <c r="M15" s="61" t="s">
        <v>602</v>
      </c>
      <c r="N15" s="60"/>
      <c r="O15" s="56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 customFormat="false" ht="22.5" hidden="false" customHeight="true" outlineLevel="0" collapsed="false">
      <c r="A16" s="57" t="n">
        <v>45755</v>
      </c>
      <c r="B16" s="1" t="n">
        <v>7</v>
      </c>
      <c r="C16" s="75" t="str">
        <f aca="false">IF(ISBLANK(A16), "--", PROPER(TEXT(A16, "dddd")))</f>
        <v>Tuesday</v>
      </c>
      <c r="D16" s="56" t="s">
        <v>16</v>
      </c>
      <c r="E16" s="56" t="s">
        <v>17</v>
      </c>
      <c r="F16" s="60" t="s">
        <v>603</v>
      </c>
      <c r="G16" s="56" t="s">
        <v>77</v>
      </c>
      <c r="H16" s="56" t="s">
        <v>24</v>
      </c>
      <c r="I16" s="56" t="s">
        <v>21</v>
      </c>
      <c r="J16" s="57" t="n">
        <v>45755</v>
      </c>
      <c r="K16" s="56" t="n">
        <v>0</v>
      </c>
      <c r="L16" s="56" t="n">
        <v>0</v>
      </c>
      <c r="M16" s="61" t="s">
        <v>604</v>
      </c>
      <c r="N16" s="60"/>
      <c r="O16" s="56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 customFormat="false" ht="22.5" hidden="false" customHeight="true" outlineLevel="0" collapsed="false">
      <c r="A17" s="57" t="n">
        <v>45755</v>
      </c>
      <c r="B17" s="1" t="n">
        <v>7</v>
      </c>
      <c r="C17" s="75" t="str">
        <f aca="false">IF(ISBLANK(A17), "--", PROPER(TEXT(A17, "dddd")))</f>
        <v>Tuesday</v>
      </c>
      <c r="D17" s="56" t="s">
        <v>16</v>
      </c>
      <c r="E17" s="56" t="s">
        <v>17</v>
      </c>
      <c r="F17" s="60" t="s">
        <v>605</v>
      </c>
      <c r="G17" s="56" t="s">
        <v>48</v>
      </c>
      <c r="H17" s="56" t="s">
        <v>24</v>
      </c>
      <c r="I17" s="56" t="s">
        <v>21</v>
      </c>
      <c r="J17" s="57" t="n">
        <v>45761</v>
      </c>
      <c r="K17" s="56" t="n">
        <v>0</v>
      </c>
      <c r="L17" s="56" t="n">
        <v>0</v>
      </c>
      <c r="M17" s="61" t="s">
        <v>606</v>
      </c>
      <c r="N17" s="60"/>
      <c r="O17" s="56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 customFormat="false" ht="22.5" hidden="false" customHeight="true" outlineLevel="0" collapsed="false">
      <c r="A18" s="57" t="n">
        <v>45756</v>
      </c>
      <c r="B18" s="1" t="n">
        <v>7</v>
      </c>
      <c r="C18" s="75" t="str">
        <f aca="false">IF(ISBLANK(A18), "--", PROPER(TEXT(A18, "dddd")))</f>
        <v>Wednesday</v>
      </c>
      <c r="D18" s="56" t="s">
        <v>16</v>
      </c>
      <c r="E18" s="56" t="s">
        <v>17</v>
      </c>
      <c r="F18" s="60" t="s">
        <v>607</v>
      </c>
      <c r="G18" s="56" t="s">
        <v>19</v>
      </c>
      <c r="H18" s="56" t="s">
        <v>24</v>
      </c>
      <c r="I18" s="56" t="s">
        <v>21</v>
      </c>
      <c r="J18" s="57" t="n">
        <v>45758</v>
      </c>
      <c r="K18" s="56" t="n">
        <v>0</v>
      </c>
      <c r="L18" s="56" t="n">
        <v>0</v>
      </c>
      <c r="M18" s="61" t="s">
        <v>608</v>
      </c>
      <c r="N18" s="60"/>
      <c r="O18" s="56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 customFormat="false" ht="22.5" hidden="false" customHeight="true" outlineLevel="0" collapsed="false">
      <c r="A19" s="57" t="n">
        <v>45756</v>
      </c>
      <c r="B19" s="1" t="n">
        <v>7</v>
      </c>
      <c r="C19" s="75" t="str">
        <f aca="false">IF(ISBLANK(A19), "--", PROPER(TEXT(A19, "dddd")))</f>
        <v>Wednesday</v>
      </c>
      <c r="D19" s="56" t="s">
        <v>16</v>
      </c>
      <c r="E19" s="56" t="s">
        <v>17</v>
      </c>
      <c r="F19" s="60" t="s">
        <v>609</v>
      </c>
      <c r="G19" s="56" t="s">
        <v>19</v>
      </c>
      <c r="H19" s="56" t="s">
        <v>449</v>
      </c>
      <c r="I19" s="56" t="s">
        <v>21</v>
      </c>
      <c r="J19" s="57" t="n">
        <v>45756</v>
      </c>
      <c r="K19" s="56" t="n">
        <v>1</v>
      </c>
      <c r="L19" s="59" t="n">
        <v>0.0241898148148148</v>
      </c>
      <c r="M19" s="31" t="s">
        <v>610</v>
      </c>
      <c r="N19" s="60"/>
      <c r="O19" s="56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 customFormat="false" ht="22.5" hidden="false" customHeight="true" outlineLevel="0" collapsed="false">
      <c r="A20" s="57" t="n">
        <v>45757</v>
      </c>
      <c r="B20" s="1" t="n">
        <v>7</v>
      </c>
      <c r="C20" s="75" t="str">
        <f aca="false">IF(ISBLANK(A20), "--", PROPER(TEXT(A20, "dddd")))</f>
        <v>Thursday</v>
      </c>
      <c r="D20" s="56" t="s">
        <v>16</v>
      </c>
      <c r="E20" s="56" t="s">
        <v>17</v>
      </c>
      <c r="F20" s="60" t="s">
        <v>611</v>
      </c>
      <c r="G20" s="56" t="s">
        <v>19</v>
      </c>
      <c r="H20" s="56" t="s">
        <v>449</v>
      </c>
      <c r="I20" s="56" t="s">
        <v>21</v>
      </c>
      <c r="J20" s="57" t="n">
        <v>45757</v>
      </c>
      <c r="K20" s="56" t="n">
        <v>1</v>
      </c>
      <c r="L20" s="59" t="n">
        <v>0.0270833333333333</v>
      </c>
      <c r="M20" s="61" t="s">
        <v>612</v>
      </c>
      <c r="N20" s="60"/>
      <c r="O20" s="56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 customFormat="false" ht="22.5" hidden="false" customHeight="true" outlineLevel="0" collapsed="false">
      <c r="A21" s="57" t="n">
        <v>45757</v>
      </c>
      <c r="B21" s="1" t="n">
        <v>7</v>
      </c>
      <c r="C21" s="75" t="str">
        <f aca="false">IF(ISBLANK(A21), "--", PROPER(TEXT(A21, "dddd")))</f>
        <v>Thursday</v>
      </c>
      <c r="D21" s="56" t="s">
        <v>145</v>
      </c>
      <c r="E21" s="56" t="s">
        <v>139</v>
      </c>
      <c r="F21" s="60" t="s">
        <v>613</v>
      </c>
      <c r="G21" s="56" t="s">
        <v>19</v>
      </c>
      <c r="H21" s="56" t="s">
        <v>141</v>
      </c>
      <c r="I21" s="56" t="s">
        <v>21</v>
      </c>
      <c r="J21" s="57" t="n">
        <v>45758</v>
      </c>
      <c r="K21" s="56" t="n">
        <v>2</v>
      </c>
      <c r="L21" s="59" t="n">
        <v>0.0527777777777778</v>
      </c>
      <c r="M21" s="31" t="s">
        <v>614</v>
      </c>
      <c r="N21" s="60"/>
      <c r="O21" s="56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 customFormat="false" ht="22.5" hidden="false" customHeight="true" outlineLevel="0" collapsed="false">
      <c r="A22" s="57" t="n">
        <v>45757</v>
      </c>
      <c r="B22" s="1" t="n">
        <v>7</v>
      </c>
      <c r="C22" s="75" t="str">
        <f aca="false">IF(ISBLANK(A22), "--", PROPER(TEXT(A22, "dddd")))</f>
        <v>Thursday</v>
      </c>
      <c r="D22" s="56" t="s">
        <v>145</v>
      </c>
      <c r="E22" s="56" t="s">
        <v>139</v>
      </c>
      <c r="F22" s="60" t="s">
        <v>615</v>
      </c>
      <c r="G22" s="56" t="s">
        <v>19</v>
      </c>
      <c r="H22" s="56" t="s">
        <v>141</v>
      </c>
      <c r="I22" s="56" t="s">
        <v>21</v>
      </c>
      <c r="J22" s="57" t="n">
        <v>45761</v>
      </c>
      <c r="K22" s="56" t="n">
        <v>2</v>
      </c>
      <c r="L22" s="59" t="n">
        <v>0.104166666666667</v>
      </c>
      <c r="M22" s="61" t="s">
        <v>616</v>
      </c>
      <c r="N22" s="60"/>
      <c r="O22" s="56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customFormat="false" ht="22.5" hidden="false" customHeight="true" outlineLevel="0" collapsed="false">
      <c r="A23" s="57" t="n">
        <v>45757</v>
      </c>
      <c r="B23" s="1" t="n">
        <v>7</v>
      </c>
      <c r="C23" s="75" t="str">
        <f aca="false">IF(ISBLANK(A23), "--", PROPER(TEXT(A23, "dddd")))</f>
        <v>Thursday</v>
      </c>
      <c r="D23" s="56" t="s">
        <v>16</v>
      </c>
      <c r="E23" s="56" t="s">
        <v>17</v>
      </c>
      <c r="F23" s="60" t="s">
        <v>617</v>
      </c>
      <c r="G23" s="56" t="s">
        <v>19</v>
      </c>
      <c r="H23" s="56" t="s">
        <v>449</v>
      </c>
      <c r="I23" s="56" t="s">
        <v>21</v>
      </c>
      <c r="J23" s="57" t="n">
        <v>45757</v>
      </c>
      <c r="K23" s="56" t="n">
        <v>1</v>
      </c>
      <c r="L23" s="59" t="n">
        <v>0.0254861111111111</v>
      </c>
      <c r="M23" s="31" t="s">
        <v>618</v>
      </c>
      <c r="N23" s="60"/>
      <c r="O23" s="56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 customFormat="false" ht="22.5" hidden="false" customHeight="true" outlineLevel="0" collapsed="false">
      <c r="A24" s="57" t="n">
        <v>45757</v>
      </c>
      <c r="B24" s="1" t="n">
        <v>7</v>
      </c>
      <c r="C24" s="75" t="str">
        <f aca="false">IF(ISBLANK(A24), "--", PROPER(TEXT(A24, "dddd")))</f>
        <v>Thursday</v>
      </c>
      <c r="D24" s="56" t="s">
        <v>16</v>
      </c>
      <c r="E24" s="56" t="s">
        <v>17</v>
      </c>
      <c r="F24" s="60" t="s">
        <v>619</v>
      </c>
      <c r="G24" s="56" t="s">
        <v>19</v>
      </c>
      <c r="H24" s="56" t="s">
        <v>449</v>
      </c>
      <c r="I24" s="56" t="s">
        <v>21</v>
      </c>
      <c r="J24" s="57" t="n">
        <v>45757</v>
      </c>
      <c r="K24" s="56" t="n">
        <v>1</v>
      </c>
      <c r="L24" s="59" t="n">
        <v>0.0154166666666667</v>
      </c>
      <c r="M24" s="61" t="s">
        <v>620</v>
      </c>
      <c r="N24" s="60"/>
      <c r="O24" s="56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</row>
    <row r="25" customFormat="false" ht="22.5" hidden="false" customHeight="true" outlineLevel="0" collapsed="false">
      <c r="A25" s="57" t="n">
        <v>45757</v>
      </c>
      <c r="B25" s="1" t="n">
        <v>7</v>
      </c>
      <c r="C25" s="75" t="str">
        <f aca="false">IF(ISBLANK(A25), "--", PROPER(TEXT(A25, "dddd")))</f>
        <v>Thursday</v>
      </c>
      <c r="D25" s="56" t="s">
        <v>16</v>
      </c>
      <c r="E25" s="56" t="s">
        <v>17</v>
      </c>
      <c r="F25" s="60" t="s">
        <v>621</v>
      </c>
      <c r="G25" s="56" t="s">
        <v>19</v>
      </c>
      <c r="H25" s="56" t="s">
        <v>449</v>
      </c>
      <c r="I25" s="56" t="s">
        <v>21</v>
      </c>
      <c r="J25" s="57" t="n">
        <v>45757</v>
      </c>
      <c r="K25" s="56" t="n">
        <v>1</v>
      </c>
      <c r="L25" s="76" t="n">
        <v>0.0118287037037037</v>
      </c>
      <c r="M25" s="31" t="s">
        <v>622</v>
      </c>
      <c r="N25" s="60"/>
      <c r="O25" s="56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 customFormat="false" ht="22.5" hidden="false" customHeight="true" outlineLevel="0" collapsed="false">
      <c r="A26" s="57" t="n">
        <v>45758</v>
      </c>
      <c r="B26" s="1" t="n">
        <v>7</v>
      </c>
      <c r="C26" s="75" t="str">
        <f aca="false">IF(ISBLANK(A26), "--", PROPER(TEXT(A26, "dddd")))</f>
        <v>Friday</v>
      </c>
      <c r="D26" s="56" t="s">
        <v>16</v>
      </c>
      <c r="E26" s="56" t="s">
        <v>17</v>
      </c>
      <c r="F26" s="60" t="s">
        <v>623</v>
      </c>
      <c r="G26" s="56" t="s">
        <v>48</v>
      </c>
      <c r="H26" s="56" t="s">
        <v>24</v>
      </c>
      <c r="I26" s="56" t="s">
        <v>21</v>
      </c>
      <c r="J26" s="57" t="n">
        <v>45758</v>
      </c>
      <c r="K26" s="56" t="n">
        <v>0</v>
      </c>
      <c r="L26" s="56" t="n">
        <v>0</v>
      </c>
      <c r="M26" s="31" t="s">
        <v>624</v>
      </c>
      <c r="N26" s="60"/>
      <c r="O26" s="5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 customFormat="false" ht="22.5" hidden="false" customHeight="true" outlineLevel="0" collapsed="false">
      <c r="A27" s="77" t="n">
        <v>45761</v>
      </c>
      <c r="B27" s="1" t="n">
        <v>8</v>
      </c>
      <c r="C27" s="75" t="s">
        <v>101</v>
      </c>
      <c r="D27" s="56" t="s">
        <v>167</v>
      </c>
      <c r="E27" s="56" t="s">
        <v>17</v>
      </c>
      <c r="F27" s="60" t="s">
        <v>625</v>
      </c>
      <c r="G27" s="56" t="s">
        <v>19</v>
      </c>
      <c r="H27" s="56" t="s">
        <v>449</v>
      </c>
      <c r="I27" s="56" t="s">
        <v>21</v>
      </c>
      <c r="J27" s="57" t="n">
        <v>45763</v>
      </c>
      <c r="K27" s="56" t="n">
        <v>1</v>
      </c>
      <c r="L27" s="76" t="n">
        <v>0.0638888888888889</v>
      </c>
      <c r="M27" s="31" t="s">
        <v>626</v>
      </c>
      <c r="N27" s="60"/>
      <c r="O27" s="56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customFormat="false" ht="22.5" hidden="false" customHeight="true" outlineLevel="0" collapsed="false">
      <c r="A28" s="57" t="n">
        <v>45762</v>
      </c>
      <c r="B28" s="1" t="n">
        <v>8</v>
      </c>
      <c r="C28" s="75" t="str">
        <f aca="false">IF(ISBLANK(A28), "--", PROPER(TEXT(A28, "dddd")))</f>
        <v>Tuesday</v>
      </c>
      <c r="D28" s="56" t="s">
        <v>16</v>
      </c>
      <c r="E28" s="56" t="s">
        <v>17</v>
      </c>
      <c r="F28" s="60" t="s">
        <v>627</v>
      </c>
      <c r="G28" s="56" t="s">
        <v>77</v>
      </c>
      <c r="H28" s="56" t="s">
        <v>24</v>
      </c>
      <c r="I28" s="56" t="s">
        <v>21</v>
      </c>
      <c r="J28" s="57" t="n">
        <v>45762</v>
      </c>
      <c r="K28" s="56" t="n">
        <v>0</v>
      </c>
      <c r="L28" s="56" t="n">
        <v>0</v>
      </c>
      <c r="M28" s="61" t="s">
        <v>628</v>
      </c>
      <c r="N28" s="60"/>
      <c r="O28" s="56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customFormat="false" ht="22.5" hidden="false" customHeight="true" outlineLevel="0" collapsed="false">
      <c r="A29" s="57" t="n">
        <v>45762</v>
      </c>
      <c r="B29" s="1" t="n">
        <v>8</v>
      </c>
      <c r="C29" s="75" t="str">
        <f aca="false">IF(ISBLANK(A29), "--", PROPER(TEXT(A29, "dddd")))</f>
        <v>Tuesday</v>
      </c>
      <c r="D29" s="56" t="s">
        <v>104</v>
      </c>
      <c r="E29" s="56" t="s">
        <v>17</v>
      </c>
      <c r="F29" s="60" t="s">
        <v>629</v>
      </c>
      <c r="G29" s="56" t="s">
        <v>48</v>
      </c>
      <c r="H29" s="56" t="s">
        <v>449</v>
      </c>
      <c r="I29" s="56" t="s">
        <v>21</v>
      </c>
      <c r="J29" s="57" t="n">
        <v>45762</v>
      </c>
      <c r="K29" s="56" t="n">
        <v>1</v>
      </c>
      <c r="L29" s="59" t="n">
        <v>0.34375</v>
      </c>
      <c r="M29" s="31" t="s">
        <v>630</v>
      </c>
      <c r="N29" s="60"/>
      <c r="O29" s="56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 customFormat="false" ht="22.5" hidden="false" customHeight="true" outlineLevel="0" collapsed="false">
      <c r="A30" s="57" t="n">
        <v>45762</v>
      </c>
      <c r="B30" s="1" t="n">
        <v>8</v>
      </c>
      <c r="C30" s="75" t="str">
        <f aca="false">IF(ISBLANK(A30), "--", PROPER(TEXT(A30, "dddd")))</f>
        <v>Tuesday</v>
      </c>
      <c r="D30" s="56" t="s">
        <v>16</v>
      </c>
      <c r="E30" s="56" t="s">
        <v>17</v>
      </c>
      <c r="F30" s="60" t="s">
        <v>631</v>
      </c>
      <c r="G30" s="56" t="s">
        <v>19</v>
      </c>
      <c r="H30" s="56" t="s">
        <v>24</v>
      </c>
      <c r="I30" s="56" t="s">
        <v>21</v>
      </c>
      <c r="J30" s="57" t="n">
        <v>45762</v>
      </c>
      <c r="K30" s="56" t="n">
        <v>0</v>
      </c>
      <c r="L30" s="56" t="n">
        <v>0</v>
      </c>
      <c r="M30" s="31" t="s">
        <v>632</v>
      </c>
      <c r="N30" s="60"/>
      <c r="O30" s="56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 customFormat="false" ht="22.5" hidden="false" customHeight="true" outlineLevel="0" collapsed="false">
      <c r="A31" s="57" t="n">
        <v>45762</v>
      </c>
      <c r="B31" s="1" t="n">
        <v>8</v>
      </c>
      <c r="C31" s="75" t="str">
        <f aca="false">IF(ISBLANK(A31), "--", PROPER(TEXT(A31, "dddd")))</f>
        <v>Tuesday</v>
      </c>
      <c r="D31" s="56" t="s">
        <v>16</v>
      </c>
      <c r="E31" s="56" t="s">
        <v>17</v>
      </c>
      <c r="F31" s="60" t="s">
        <v>633</v>
      </c>
      <c r="G31" s="56" t="s">
        <v>19</v>
      </c>
      <c r="H31" s="56" t="s">
        <v>449</v>
      </c>
      <c r="I31" s="56" t="s">
        <v>21</v>
      </c>
      <c r="J31" s="57" t="n">
        <v>45763</v>
      </c>
      <c r="K31" s="56" t="n">
        <v>2</v>
      </c>
      <c r="L31" s="59" t="n">
        <v>0.0263888888888889</v>
      </c>
      <c r="M31" s="61" t="s">
        <v>634</v>
      </c>
      <c r="N31" s="60"/>
      <c r="O31" s="56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</row>
    <row r="32" customFormat="false" ht="22.5" hidden="false" customHeight="true" outlineLevel="0" collapsed="false">
      <c r="A32" s="63" t="n">
        <v>45762</v>
      </c>
      <c r="B32" s="1" t="n">
        <v>8</v>
      </c>
      <c r="C32" s="75" t="str">
        <f aca="false">IF(ISBLANK(A32), "--", PROPER(TEXT(A32, "dddd")))</f>
        <v>Tuesday</v>
      </c>
      <c r="D32" s="56" t="s">
        <v>16</v>
      </c>
      <c r="E32" s="56" t="s">
        <v>17</v>
      </c>
      <c r="F32" s="60" t="s">
        <v>635</v>
      </c>
      <c r="G32" s="56" t="s">
        <v>77</v>
      </c>
      <c r="H32" s="56" t="s">
        <v>34</v>
      </c>
      <c r="I32" s="56" t="s">
        <v>21</v>
      </c>
      <c r="J32" s="57" t="n">
        <v>45768</v>
      </c>
      <c r="K32" s="56" t="n">
        <v>2</v>
      </c>
      <c r="L32" s="59" t="n">
        <v>0.0847222222222222</v>
      </c>
      <c r="M32" s="31" t="s">
        <v>636</v>
      </c>
      <c r="N32" s="60"/>
      <c r="O32" s="56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  <row r="33" customFormat="false" ht="22.5" hidden="false" customHeight="true" outlineLevel="0" collapsed="false">
      <c r="A33" s="63" t="n">
        <v>45762</v>
      </c>
      <c r="B33" s="1" t="n">
        <v>8</v>
      </c>
      <c r="C33" s="75" t="str">
        <f aca="false">IF(ISBLANK(A33), "--", PROPER(TEXT(A33, "dddd")))</f>
        <v>Tuesday</v>
      </c>
      <c r="D33" s="56" t="s">
        <v>16</v>
      </c>
      <c r="E33" s="56" t="s">
        <v>17</v>
      </c>
      <c r="F33" s="60" t="s">
        <v>637</v>
      </c>
      <c r="G33" s="56" t="s">
        <v>77</v>
      </c>
      <c r="H33" s="56" t="s">
        <v>24</v>
      </c>
      <c r="I33" s="56" t="s">
        <v>21</v>
      </c>
      <c r="J33" s="63" t="n">
        <v>45763</v>
      </c>
      <c r="K33" s="56" t="n">
        <v>0</v>
      </c>
      <c r="L33" s="56" t="n">
        <v>0</v>
      </c>
      <c r="M33" s="31" t="s">
        <v>638</v>
      </c>
      <c r="N33" s="60"/>
      <c r="O33" s="56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</row>
    <row r="34" customFormat="false" ht="22.5" hidden="false" customHeight="true" outlineLevel="0" collapsed="false">
      <c r="A34" s="63" t="n">
        <v>45763</v>
      </c>
      <c r="B34" s="1" t="n">
        <v>8</v>
      </c>
      <c r="C34" s="75" t="str">
        <f aca="false">IF(ISBLANK(A34), "--", PROPER(TEXT(A34, "dddd")))</f>
        <v>Wednesday</v>
      </c>
      <c r="D34" s="56" t="s">
        <v>16</v>
      </c>
      <c r="E34" s="56" t="s">
        <v>17</v>
      </c>
      <c r="F34" s="60" t="s">
        <v>639</v>
      </c>
      <c r="G34" s="56" t="s">
        <v>19</v>
      </c>
      <c r="H34" s="56" t="s">
        <v>449</v>
      </c>
      <c r="I34" s="56" t="s">
        <v>21</v>
      </c>
      <c r="J34" s="63" t="n">
        <v>45763</v>
      </c>
      <c r="K34" s="56" t="n">
        <v>1</v>
      </c>
      <c r="L34" s="59" t="n">
        <v>0.0111111111111111</v>
      </c>
      <c r="M34" s="61" t="s">
        <v>640</v>
      </c>
      <c r="N34" s="60"/>
      <c r="O34" s="56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  <row r="35" customFormat="false" ht="22.5" hidden="false" customHeight="true" outlineLevel="0" collapsed="false">
      <c r="A35" s="63" t="n">
        <v>45763</v>
      </c>
      <c r="B35" s="1" t="n">
        <v>8</v>
      </c>
      <c r="C35" s="75" t="str">
        <f aca="false">IF(ISBLANK(A35), "--", PROPER(TEXT(A35, "dddd")))</f>
        <v>Wednesday</v>
      </c>
      <c r="D35" s="56" t="s">
        <v>16</v>
      </c>
      <c r="E35" s="56" t="s">
        <v>17</v>
      </c>
      <c r="F35" s="60" t="s">
        <v>641</v>
      </c>
      <c r="G35" s="56" t="s">
        <v>19</v>
      </c>
      <c r="H35" s="56" t="s">
        <v>449</v>
      </c>
      <c r="I35" s="56" t="s">
        <v>21</v>
      </c>
      <c r="J35" s="57" t="n">
        <v>45763</v>
      </c>
      <c r="K35" s="56" t="n">
        <v>1</v>
      </c>
      <c r="L35" s="59" t="n">
        <v>0.0131944444444444</v>
      </c>
      <c r="M35" s="31" t="s">
        <v>642</v>
      </c>
      <c r="N35" s="60"/>
      <c r="O35" s="56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customFormat="false" ht="22.5" hidden="false" customHeight="true" outlineLevel="0" collapsed="false">
      <c r="A36" s="63" t="n">
        <v>45768</v>
      </c>
      <c r="B36" s="1" t="n">
        <v>8</v>
      </c>
      <c r="C36" s="75" t="str">
        <f aca="false">IF(ISBLANK(A36), "--", PROPER(TEXT(A36, "dddd")))</f>
        <v>Monday</v>
      </c>
      <c r="D36" s="56" t="s">
        <v>16</v>
      </c>
      <c r="E36" s="56" t="s">
        <v>17</v>
      </c>
      <c r="F36" s="60" t="s">
        <v>643</v>
      </c>
      <c r="G36" s="56" t="s">
        <v>77</v>
      </c>
      <c r="H36" s="56" t="s">
        <v>24</v>
      </c>
      <c r="I36" s="56" t="s">
        <v>21</v>
      </c>
      <c r="J36" s="63" t="n">
        <v>45768</v>
      </c>
      <c r="K36" s="56" t="n">
        <v>0</v>
      </c>
      <c r="L36" s="56" t="n">
        <v>0</v>
      </c>
      <c r="M36" s="61" t="s">
        <v>644</v>
      </c>
      <c r="N36" s="60"/>
      <c r="O36" s="56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customFormat="false" ht="22.5" hidden="false" customHeight="true" outlineLevel="0" collapsed="false">
      <c r="A37" s="63" t="n">
        <v>45768</v>
      </c>
      <c r="B37" s="1" t="n">
        <v>8</v>
      </c>
      <c r="C37" s="75" t="str">
        <f aca="false">IF(ISBLANK(A37), "--", PROPER(TEXT(A37, "dddd")))</f>
        <v>Monday</v>
      </c>
      <c r="D37" s="56" t="s">
        <v>16</v>
      </c>
      <c r="E37" s="56" t="s">
        <v>17</v>
      </c>
      <c r="F37" s="60" t="s">
        <v>645</v>
      </c>
      <c r="G37" s="56" t="s">
        <v>77</v>
      </c>
      <c r="H37" s="56" t="s">
        <v>24</v>
      </c>
      <c r="I37" s="56" t="s">
        <v>21</v>
      </c>
      <c r="J37" s="63" t="n">
        <v>45768</v>
      </c>
      <c r="K37" s="56" t="n">
        <v>0</v>
      </c>
      <c r="L37" s="56" t="n">
        <v>0</v>
      </c>
      <c r="M37" s="61" t="s">
        <v>646</v>
      </c>
      <c r="N37" s="60"/>
      <c r="O37" s="56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customFormat="false" ht="22.5" hidden="false" customHeight="true" outlineLevel="0" collapsed="false">
      <c r="A38" s="63" t="n">
        <v>45768</v>
      </c>
      <c r="B38" s="1" t="n">
        <v>8</v>
      </c>
      <c r="C38" s="75" t="str">
        <f aca="false">IF(ISBLANK(A38), "--", PROPER(TEXT(A38, "dddd")))</f>
        <v>Monday</v>
      </c>
      <c r="D38" s="56" t="s">
        <v>16</v>
      </c>
      <c r="E38" s="56" t="s">
        <v>17</v>
      </c>
      <c r="F38" s="60" t="s">
        <v>647</v>
      </c>
      <c r="G38" s="56" t="s">
        <v>19</v>
      </c>
      <c r="H38" s="56" t="s">
        <v>24</v>
      </c>
      <c r="I38" s="56" t="s">
        <v>21</v>
      </c>
      <c r="J38" s="63" t="n">
        <v>45768</v>
      </c>
      <c r="K38" s="56" t="n">
        <v>0</v>
      </c>
      <c r="L38" s="56" t="n">
        <v>0</v>
      </c>
      <c r="M38" s="61" t="s">
        <v>648</v>
      </c>
      <c r="N38" s="60"/>
      <c r="O38" s="56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 customFormat="false" ht="22.5" hidden="false" customHeight="true" outlineLevel="0" collapsed="false">
      <c r="A39" s="63" t="n">
        <v>45768</v>
      </c>
      <c r="B39" s="1" t="n">
        <v>8</v>
      </c>
      <c r="C39" s="75" t="str">
        <f aca="false">IF(ISBLANK(A39), "--", PROPER(TEXT(A39, "dddd")))</f>
        <v>Monday</v>
      </c>
      <c r="D39" s="56" t="s">
        <v>16</v>
      </c>
      <c r="E39" s="56" t="s">
        <v>17</v>
      </c>
      <c r="F39" s="60" t="s">
        <v>649</v>
      </c>
      <c r="G39" s="56" t="s">
        <v>19</v>
      </c>
      <c r="H39" s="56" t="s">
        <v>24</v>
      </c>
      <c r="I39" s="56" t="s">
        <v>21</v>
      </c>
      <c r="J39" s="63" t="n">
        <v>45768</v>
      </c>
      <c r="K39" s="56" t="n">
        <v>0</v>
      </c>
      <c r="L39" s="56" t="n">
        <v>0</v>
      </c>
      <c r="M39" s="61" t="s">
        <v>650</v>
      </c>
      <c r="N39" s="60"/>
      <c r="O39" s="56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 customFormat="false" ht="22.5" hidden="false" customHeight="true" outlineLevel="0" collapsed="false">
      <c r="A40" s="63" t="n">
        <v>45768</v>
      </c>
      <c r="B40" s="1" t="n">
        <v>8</v>
      </c>
      <c r="C40" s="75" t="str">
        <f aca="false">IF(ISBLANK(A40), "--", PROPER(TEXT(A40, "dddd")))</f>
        <v>Monday</v>
      </c>
      <c r="D40" s="56" t="s">
        <v>16</v>
      </c>
      <c r="E40" s="56" t="s">
        <v>17</v>
      </c>
      <c r="F40" s="60" t="s">
        <v>651</v>
      </c>
      <c r="G40" s="56" t="s">
        <v>19</v>
      </c>
      <c r="H40" s="56" t="s">
        <v>24</v>
      </c>
      <c r="I40" s="56" t="s">
        <v>21</v>
      </c>
      <c r="J40" s="63" t="n">
        <v>45768</v>
      </c>
      <c r="K40" s="56" t="n">
        <v>0</v>
      </c>
      <c r="L40" s="56" t="n">
        <v>0</v>
      </c>
      <c r="M40" s="56" t="s">
        <v>650</v>
      </c>
      <c r="N40" s="60"/>
      <c r="O40" s="56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 customFormat="false" ht="22.5" hidden="false" customHeight="true" outlineLevel="0" collapsed="false">
      <c r="A41" s="63" t="n">
        <v>45768</v>
      </c>
      <c r="B41" s="1" t="n">
        <v>8</v>
      </c>
      <c r="C41" s="75" t="str">
        <f aca="false">IF(ISBLANK(A41), "--", PROPER(TEXT(A41, "dddd")))</f>
        <v>Monday</v>
      </c>
      <c r="D41" s="56" t="s">
        <v>134</v>
      </c>
      <c r="E41" s="56" t="s">
        <v>17</v>
      </c>
      <c r="F41" s="60" t="s">
        <v>652</v>
      </c>
      <c r="G41" s="56" t="s">
        <v>77</v>
      </c>
      <c r="H41" s="56" t="s">
        <v>70</v>
      </c>
      <c r="I41" s="56" t="s">
        <v>21</v>
      </c>
      <c r="J41" s="57" t="n">
        <v>45768</v>
      </c>
      <c r="K41" s="56" t="n">
        <v>1</v>
      </c>
      <c r="L41" s="76" t="n">
        <v>0.00418981481481482</v>
      </c>
      <c r="M41" s="31" t="s">
        <v>653</v>
      </c>
      <c r="N41" s="60"/>
      <c r="O41" s="56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</row>
    <row r="42" customFormat="false" ht="22.5" hidden="false" customHeight="true" outlineLevel="0" collapsed="false">
      <c r="A42" s="63" t="n">
        <v>45770</v>
      </c>
      <c r="B42" s="1" t="n">
        <v>8</v>
      </c>
      <c r="C42" s="75" t="str">
        <f aca="false">IF(ISBLANK(A42), "--", PROPER(TEXT(A42, "dddd")))</f>
        <v>Wednesday</v>
      </c>
      <c r="D42" s="56" t="s">
        <v>16</v>
      </c>
      <c r="E42" s="56" t="s">
        <v>17</v>
      </c>
      <c r="F42" s="60" t="s">
        <v>654</v>
      </c>
      <c r="G42" s="56" t="s">
        <v>77</v>
      </c>
      <c r="H42" s="56" t="s">
        <v>24</v>
      </c>
      <c r="I42" s="56" t="s">
        <v>21</v>
      </c>
      <c r="J42" s="57" t="n">
        <v>45772</v>
      </c>
      <c r="K42" s="56" t="n">
        <v>0</v>
      </c>
      <c r="L42" s="56" t="n">
        <v>0</v>
      </c>
      <c r="M42" s="61" t="s">
        <v>655</v>
      </c>
      <c r="N42" s="60"/>
      <c r="O42" s="56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 customFormat="false" ht="22.5" hidden="false" customHeight="true" outlineLevel="0" collapsed="false">
      <c r="A43" s="63" t="n">
        <v>45770</v>
      </c>
      <c r="B43" s="1" t="n">
        <v>8</v>
      </c>
      <c r="C43" s="75" t="str">
        <f aca="false">IF(ISBLANK(A43), "--", PROPER(TEXT(A43, "dddd")))</f>
        <v>Wednesday</v>
      </c>
      <c r="D43" s="56" t="s">
        <v>16</v>
      </c>
      <c r="E43" s="56" t="s">
        <v>17</v>
      </c>
      <c r="F43" s="60" t="s">
        <v>656</v>
      </c>
      <c r="G43" s="56" t="s">
        <v>19</v>
      </c>
      <c r="H43" s="56" t="s">
        <v>24</v>
      </c>
      <c r="I43" s="56" t="s">
        <v>21</v>
      </c>
      <c r="J43" s="63" t="n">
        <v>45772</v>
      </c>
      <c r="K43" s="56" t="n">
        <v>0</v>
      </c>
      <c r="L43" s="56" t="n">
        <v>0</v>
      </c>
      <c r="M43" s="61" t="s">
        <v>657</v>
      </c>
      <c r="N43" s="60"/>
      <c r="O43" s="56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 customFormat="false" ht="22.5" hidden="false" customHeight="true" outlineLevel="0" collapsed="false">
      <c r="A44" s="63" t="n">
        <v>45770</v>
      </c>
      <c r="B44" s="1" t="n">
        <v>8</v>
      </c>
      <c r="C44" s="75" t="str">
        <f aca="false">IF(ISBLANK(A44), "--", PROPER(TEXT(A44, "dddd")))</f>
        <v>Wednesday</v>
      </c>
      <c r="D44" s="56" t="s">
        <v>16</v>
      </c>
      <c r="E44" s="56" t="s">
        <v>17</v>
      </c>
      <c r="F44" s="60" t="s">
        <v>658</v>
      </c>
      <c r="G44" s="56" t="s">
        <v>19</v>
      </c>
      <c r="H44" s="56" t="s">
        <v>449</v>
      </c>
      <c r="I44" s="56" t="s">
        <v>21</v>
      </c>
      <c r="J44" s="63" t="n">
        <v>45770</v>
      </c>
      <c r="K44" s="56" t="n">
        <v>1</v>
      </c>
      <c r="L44" s="76" t="n">
        <v>0.0277777777777778</v>
      </c>
      <c r="M44" s="61" t="s">
        <v>659</v>
      </c>
      <c r="N44" s="60"/>
      <c r="O44" s="56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customFormat="false" ht="22.5" hidden="false" customHeight="true" outlineLevel="0" collapsed="false">
      <c r="A45" s="63" t="n">
        <v>45771</v>
      </c>
      <c r="B45" s="1" t="n">
        <v>8</v>
      </c>
      <c r="C45" s="75" t="str">
        <f aca="false">IF(ISBLANK(A45), "--", PROPER(TEXT(A45, "dddd")))</f>
        <v>Thursday</v>
      </c>
      <c r="D45" s="56" t="s">
        <v>16</v>
      </c>
      <c r="E45" s="56" t="s">
        <v>17</v>
      </c>
      <c r="F45" s="60" t="s">
        <v>660</v>
      </c>
      <c r="G45" s="56" t="s">
        <v>19</v>
      </c>
      <c r="H45" s="56" t="s">
        <v>449</v>
      </c>
      <c r="I45" s="56" t="s">
        <v>21</v>
      </c>
      <c r="J45" s="57" t="n">
        <v>45772</v>
      </c>
      <c r="K45" s="56" t="n">
        <v>1</v>
      </c>
      <c r="L45" s="76" t="n">
        <v>0.0361111111111111</v>
      </c>
      <c r="M45" s="61" t="s">
        <v>661</v>
      </c>
      <c r="N45" s="60"/>
      <c r="O45" s="56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customFormat="false" ht="22.5" hidden="false" customHeight="true" outlineLevel="0" collapsed="false">
      <c r="A46" s="63" t="n">
        <v>45771</v>
      </c>
      <c r="B46" s="1" t="n">
        <v>8</v>
      </c>
      <c r="C46" s="75" t="str">
        <f aca="false">IF(ISBLANK(A46), "--", PROPER(TEXT(A46, "dddd")))</f>
        <v>Thursday</v>
      </c>
      <c r="D46" s="56" t="s">
        <v>134</v>
      </c>
      <c r="E46" s="56" t="s">
        <v>17</v>
      </c>
      <c r="F46" s="60" t="s">
        <v>662</v>
      </c>
      <c r="G46" s="56" t="s">
        <v>77</v>
      </c>
      <c r="H46" s="56" t="s">
        <v>70</v>
      </c>
      <c r="I46" s="56" t="s">
        <v>21</v>
      </c>
      <c r="J46" s="57" t="n">
        <v>45772</v>
      </c>
      <c r="K46" s="56" t="n">
        <v>0</v>
      </c>
      <c r="L46" s="56" t="n">
        <v>0</v>
      </c>
      <c r="M46" s="61" t="s">
        <v>663</v>
      </c>
      <c r="N46" s="60"/>
      <c r="O46" s="56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customFormat="false" ht="22.5" hidden="false" customHeight="true" outlineLevel="0" collapsed="false">
      <c r="A47" s="63" t="n">
        <v>45772</v>
      </c>
      <c r="B47" s="1" t="n">
        <v>8</v>
      </c>
      <c r="C47" s="75" t="str">
        <f aca="false">IF(ISBLANK(A47), "--", PROPER(TEXT(A47, "dddd")))</f>
        <v>Friday</v>
      </c>
      <c r="D47" s="56" t="s">
        <v>134</v>
      </c>
      <c r="E47" s="56" t="s">
        <v>17</v>
      </c>
      <c r="F47" s="60" t="s">
        <v>664</v>
      </c>
      <c r="G47" s="56" t="s">
        <v>77</v>
      </c>
      <c r="H47" s="56" t="s">
        <v>70</v>
      </c>
      <c r="I47" s="56" t="s">
        <v>21</v>
      </c>
      <c r="J47" s="57" t="n">
        <v>45772</v>
      </c>
      <c r="K47" s="56" t="n">
        <v>3</v>
      </c>
      <c r="L47" s="76" t="n">
        <v>0.176388888888889</v>
      </c>
      <c r="M47" s="64" t="s">
        <v>665</v>
      </c>
      <c r="N47" s="60"/>
      <c r="O47" s="56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 customFormat="false" ht="22.5" hidden="false" customHeight="true" outlineLevel="0" collapsed="false">
      <c r="A48" s="63" t="n">
        <v>45771</v>
      </c>
      <c r="B48" s="1" t="n">
        <v>8</v>
      </c>
      <c r="C48" s="75" t="str">
        <f aca="false">IF(ISBLANK(A48), "--", PROPER(TEXT(A48, "dddd")))</f>
        <v>Thursday</v>
      </c>
      <c r="D48" s="56" t="s">
        <v>156</v>
      </c>
      <c r="E48" s="56" t="s">
        <v>17</v>
      </c>
      <c r="F48" s="60" t="s">
        <v>666</v>
      </c>
      <c r="G48" s="56" t="s">
        <v>19</v>
      </c>
      <c r="H48" s="56" t="s">
        <v>449</v>
      </c>
      <c r="I48" s="56" t="s">
        <v>21</v>
      </c>
      <c r="J48" s="63" t="n">
        <v>45772</v>
      </c>
      <c r="K48" s="56" t="n">
        <v>2</v>
      </c>
      <c r="L48" s="76" t="n">
        <v>0.0555555555555556</v>
      </c>
      <c r="M48" s="31" t="s">
        <v>667</v>
      </c>
      <c r="N48" s="60"/>
      <c r="O48" s="56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 customFormat="false" ht="22.5" hidden="false" customHeight="true" outlineLevel="0" collapsed="false">
      <c r="A49" s="57" t="n">
        <v>45772</v>
      </c>
      <c r="B49" s="1" t="n">
        <v>8</v>
      </c>
      <c r="C49" s="75" t="str">
        <f aca="false">IF(ISBLANK(A49), "--", PROPER(TEXT(A49, "dddd")))</f>
        <v>Friday</v>
      </c>
      <c r="D49" s="56" t="s">
        <v>134</v>
      </c>
      <c r="E49" s="56" t="s">
        <v>17</v>
      </c>
      <c r="F49" s="60" t="s">
        <v>668</v>
      </c>
      <c r="G49" s="56" t="s">
        <v>19</v>
      </c>
      <c r="H49" s="56" t="s">
        <v>70</v>
      </c>
      <c r="I49" s="56" t="s">
        <v>21</v>
      </c>
      <c r="J49" s="57" t="n">
        <v>45772</v>
      </c>
      <c r="K49" s="56" t="n">
        <v>0</v>
      </c>
      <c r="L49" s="56" t="n">
        <v>0</v>
      </c>
      <c r="M49" s="31" t="s">
        <v>669</v>
      </c>
      <c r="N49" s="60"/>
      <c r="O49" s="56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 customFormat="false" ht="22.5" hidden="false" customHeight="true" outlineLevel="0" collapsed="false">
      <c r="A50" s="63" t="n">
        <v>45772</v>
      </c>
      <c r="B50" s="1" t="n">
        <v>8</v>
      </c>
      <c r="C50" s="75" t="str">
        <f aca="false">IF(ISBLANK(A50), "--", PROPER(TEXT(A50, "dddd")))</f>
        <v>Friday</v>
      </c>
      <c r="D50" s="56" t="s">
        <v>16</v>
      </c>
      <c r="E50" s="56" t="s">
        <v>17</v>
      </c>
      <c r="F50" s="60" t="s">
        <v>670</v>
      </c>
      <c r="G50" s="56" t="s">
        <v>19</v>
      </c>
      <c r="H50" s="56" t="s">
        <v>449</v>
      </c>
      <c r="I50" s="56" t="s">
        <v>21</v>
      </c>
      <c r="J50" s="57" t="n">
        <v>45772</v>
      </c>
      <c r="K50" s="56" t="n">
        <v>1</v>
      </c>
      <c r="L50" s="76" t="n">
        <v>0.0576388888888889</v>
      </c>
      <c r="M50" s="61" t="s">
        <v>671</v>
      </c>
      <c r="N50" s="60"/>
      <c r="O50" s="56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 customFormat="false" ht="22.5" hidden="false" customHeight="true" outlineLevel="0" collapsed="false">
      <c r="A51" s="57" t="n">
        <v>45772</v>
      </c>
      <c r="B51" s="1" t="n">
        <v>8</v>
      </c>
      <c r="C51" s="75" t="str">
        <f aca="false">IF(ISBLANK(A51), "--", PROPER(TEXT(A51, "dddd")))</f>
        <v>Friday</v>
      </c>
      <c r="D51" s="56" t="s">
        <v>134</v>
      </c>
      <c r="E51" s="56" t="s">
        <v>17</v>
      </c>
      <c r="F51" s="60" t="s">
        <v>672</v>
      </c>
      <c r="G51" s="56" t="s">
        <v>19</v>
      </c>
      <c r="H51" s="56" t="s">
        <v>70</v>
      </c>
      <c r="I51" s="56" t="s">
        <v>21</v>
      </c>
      <c r="J51" s="57" t="n">
        <v>45772</v>
      </c>
      <c r="K51" s="56" t="n">
        <v>0</v>
      </c>
      <c r="L51" s="56" t="n">
        <v>0</v>
      </c>
      <c r="M51" s="61" t="s">
        <v>673</v>
      </c>
      <c r="N51" s="60"/>
      <c r="O51" s="56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</row>
    <row r="52" customFormat="false" ht="22.5" hidden="false" customHeight="true" outlineLevel="0" collapsed="false">
      <c r="A52" s="55" t="n">
        <v>45775</v>
      </c>
      <c r="B52" s="1" t="n">
        <v>9</v>
      </c>
      <c r="C52" s="75" t="str">
        <f aca="false">IF(ISBLANK(A52), "--", PROPER(TEXT(A52, "dddd")))</f>
        <v>Monday</v>
      </c>
      <c r="D52" s="56" t="s">
        <v>594</v>
      </c>
      <c r="E52" s="56" t="s">
        <v>17</v>
      </c>
      <c r="F52" s="60" t="s">
        <v>674</v>
      </c>
      <c r="G52" s="56" t="s">
        <v>19</v>
      </c>
      <c r="H52" s="56" t="s">
        <v>449</v>
      </c>
      <c r="I52" s="56" t="s">
        <v>21</v>
      </c>
      <c r="J52" s="57" t="n">
        <v>45775</v>
      </c>
      <c r="K52" s="56" t="n">
        <v>1</v>
      </c>
      <c r="L52" s="76" t="n">
        <v>0.0444444444444444</v>
      </c>
      <c r="M52" s="61" t="s">
        <v>675</v>
      </c>
      <c r="N52" s="60"/>
      <c r="O52" s="56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customFormat="false" ht="22.5" hidden="false" customHeight="true" outlineLevel="0" collapsed="false">
      <c r="A53" s="57" t="n">
        <v>45775</v>
      </c>
      <c r="B53" s="1" t="n">
        <v>9</v>
      </c>
      <c r="C53" s="75" t="s">
        <v>101</v>
      </c>
      <c r="D53" s="56" t="s">
        <v>85</v>
      </c>
      <c r="E53" s="56" t="s">
        <v>17</v>
      </c>
      <c r="F53" s="60" t="s">
        <v>676</v>
      </c>
      <c r="G53" s="56" t="s">
        <v>19</v>
      </c>
      <c r="H53" s="56" t="s">
        <v>70</v>
      </c>
      <c r="I53" s="56" t="s">
        <v>21</v>
      </c>
      <c r="J53" s="57" t="n">
        <v>45777</v>
      </c>
      <c r="K53" s="56" t="n">
        <v>2</v>
      </c>
      <c r="L53" s="76" t="n">
        <v>0.143055555555556</v>
      </c>
      <c r="M53" s="61" t="s">
        <v>677</v>
      </c>
      <c r="N53" s="60"/>
      <c r="O53" s="56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customFormat="false" ht="22.5" hidden="false" customHeight="true" outlineLevel="0" collapsed="false">
      <c r="A54" s="57" t="n">
        <v>45775</v>
      </c>
      <c r="B54" s="1" t="n">
        <v>9</v>
      </c>
      <c r="C54" s="75" t="str">
        <f aca="false">IF(ISBLANK(A54), "--", PROPER(TEXT(A54, "dddd")))</f>
        <v>Monday</v>
      </c>
      <c r="D54" s="56" t="s">
        <v>594</v>
      </c>
      <c r="E54" s="56" t="s">
        <v>17</v>
      </c>
      <c r="F54" s="60" t="s">
        <v>678</v>
      </c>
      <c r="G54" s="56" t="s">
        <v>19</v>
      </c>
      <c r="H54" s="56" t="s">
        <v>449</v>
      </c>
      <c r="I54" s="56" t="s">
        <v>21</v>
      </c>
      <c r="J54" s="57" t="n">
        <v>45775</v>
      </c>
      <c r="K54" s="56" t="n">
        <v>1</v>
      </c>
      <c r="L54" s="76" t="n">
        <v>0.0451388888888889</v>
      </c>
      <c r="M54" s="61" t="s">
        <v>679</v>
      </c>
      <c r="N54" s="60"/>
      <c r="O54" s="56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 customFormat="false" ht="22.5" hidden="false" customHeight="true" outlineLevel="0" collapsed="false">
      <c r="A55" s="57" t="n">
        <v>45775</v>
      </c>
      <c r="B55" s="1" t="n">
        <v>9</v>
      </c>
      <c r="C55" s="75" t="str">
        <f aca="false">IF(ISBLANK(A55), "--", PROPER(TEXT(A55, "dddd")))</f>
        <v>Monday</v>
      </c>
      <c r="D55" s="56" t="s">
        <v>16</v>
      </c>
      <c r="E55" s="56" t="s">
        <v>17</v>
      </c>
      <c r="F55" s="60" t="s">
        <v>680</v>
      </c>
      <c r="G55" s="56" t="s">
        <v>19</v>
      </c>
      <c r="H55" s="56" t="s">
        <v>449</v>
      </c>
      <c r="I55" s="56" t="s">
        <v>21</v>
      </c>
      <c r="J55" s="57" t="n">
        <v>45775</v>
      </c>
      <c r="K55" s="56" t="n">
        <v>1</v>
      </c>
      <c r="L55" s="76" t="n">
        <v>0.0576388888888889</v>
      </c>
      <c r="M55" s="61" t="s">
        <v>681</v>
      </c>
      <c r="N55" s="60"/>
      <c r="O55" s="56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customFormat="false" ht="22.5" hidden="false" customHeight="true" outlineLevel="0" collapsed="false">
      <c r="A56" s="57" t="n">
        <v>45775</v>
      </c>
      <c r="B56" s="1" t="n">
        <v>9</v>
      </c>
      <c r="C56" s="75" t="str">
        <f aca="false">IF(ISBLANK(A56), "--", PROPER(TEXT(A56, "dddd")))</f>
        <v>Monday</v>
      </c>
      <c r="D56" s="56" t="s">
        <v>46</v>
      </c>
      <c r="E56" s="56" t="s">
        <v>17</v>
      </c>
      <c r="F56" s="60" t="s">
        <v>682</v>
      </c>
      <c r="G56" s="56" t="s">
        <v>19</v>
      </c>
      <c r="H56" s="56" t="s">
        <v>20</v>
      </c>
      <c r="I56" s="56" t="s">
        <v>21</v>
      </c>
      <c r="J56" s="57" t="n">
        <v>45777</v>
      </c>
      <c r="K56" s="56" t="n">
        <v>1</v>
      </c>
      <c r="L56" s="59" t="n">
        <v>0.0479166666666667</v>
      </c>
      <c r="M56" s="61" t="s">
        <v>683</v>
      </c>
      <c r="N56" s="60"/>
      <c r="O56" s="56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 customFormat="false" ht="22.5" hidden="false" customHeight="true" outlineLevel="0" collapsed="false">
      <c r="A57" s="57" t="n">
        <v>45775</v>
      </c>
      <c r="B57" s="1" t="n">
        <v>9</v>
      </c>
      <c r="C57" s="75" t="str">
        <f aca="false">IF(ISBLANK(A57), "--", PROPER(TEXT(A57, "dddd")))</f>
        <v>Monday</v>
      </c>
      <c r="D57" s="56" t="s">
        <v>46</v>
      </c>
      <c r="E57" s="56" t="s">
        <v>17</v>
      </c>
      <c r="F57" s="60" t="s">
        <v>684</v>
      </c>
      <c r="G57" s="56" t="s">
        <v>19</v>
      </c>
      <c r="H57" s="56" t="s">
        <v>20</v>
      </c>
      <c r="I57" s="56" t="s">
        <v>21</v>
      </c>
      <c r="J57" s="57" t="n">
        <v>45777</v>
      </c>
      <c r="K57" s="56" t="n">
        <v>1</v>
      </c>
      <c r="L57" s="59" t="n">
        <v>0.0430555555555556</v>
      </c>
      <c r="M57" s="61" t="s">
        <v>685</v>
      </c>
      <c r="N57" s="60"/>
      <c r="O57" s="56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 customFormat="false" ht="22.5" hidden="false" customHeight="true" outlineLevel="0" collapsed="false">
      <c r="A58" s="57" t="n">
        <v>45775</v>
      </c>
      <c r="B58" s="1" t="n">
        <v>9</v>
      </c>
      <c r="C58" s="75" t="str">
        <f aca="false">IF(ISBLANK(A58), "--", PROPER(TEXT(A58, "dddd")))</f>
        <v>Monday</v>
      </c>
      <c r="D58" s="56" t="s">
        <v>85</v>
      </c>
      <c r="E58" s="56" t="s">
        <v>17</v>
      </c>
      <c r="F58" s="60" t="s">
        <v>686</v>
      </c>
      <c r="G58" s="56" t="s">
        <v>77</v>
      </c>
      <c r="H58" s="56" t="s">
        <v>70</v>
      </c>
      <c r="I58" s="56" t="s">
        <v>21</v>
      </c>
      <c r="J58" s="57" t="n">
        <v>45777</v>
      </c>
      <c r="K58" s="56" t="n">
        <v>2</v>
      </c>
      <c r="L58" s="59" t="n">
        <v>0.20625</v>
      </c>
      <c r="M58" s="61" t="s">
        <v>687</v>
      </c>
      <c r="N58" s="60"/>
      <c r="O58" s="56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 customFormat="false" ht="22.5" hidden="false" customHeight="true" outlineLevel="0" collapsed="false">
      <c r="A59" s="57" t="n">
        <v>45775</v>
      </c>
      <c r="B59" s="1" t="n">
        <v>9</v>
      </c>
      <c r="C59" s="75" t="str">
        <f aca="false">IF(ISBLANK(A59), "--", PROPER(TEXT(A59, "dddd")))</f>
        <v>Monday</v>
      </c>
      <c r="D59" s="56" t="s">
        <v>16</v>
      </c>
      <c r="E59" s="56" t="s">
        <v>17</v>
      </c>
      <c r="F59" s="60" t="s">
        <v>688</v>
      </c>
      <c r="G59" s="56" t="s">
        <v>19</v>
      </c>
      <c r="H59" s="56" t="s">
        <v>24</v>
      </c>
      <c r="I59" s="56" t="s">
        <v>21</v>
      </c>
      <c r="J59" s="57" t="n">
        <v>45776</v>
      </c>
      <c r="K59" s="56" t="n">
        <v>0</v>
      </c>
      <c r="L59" s="56" t="n">
        <v>0</v>
      </c>
      <c r="M59" s="61" t="s">
        <v>689</v>
      </c>
      <c r="N59" s="60"/>
      <c r="O59" s="56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 customFormat="false" ht="22.5" hidden="false" customHeight="true" outlineLevel="0" collapsed="false">
      <c r="A60" s="57" t="n">
        <v>45776</v>
      </c>
      <c r="B60" s="1" t="n">
        <v>9</v>
      </c>
      <c r="C60" s="75" t="str">
        <f aca="false">IF(ISBLANK(A60), "--", PROPER(TEXT(A60, "dddd")))</f>
        <v>Tuesday</v>
      </c>
      <c r="D60" s="56" t="s">
        <v>130</v>
      </c>
      <c r="E60" s="56" t="s">
        <v>17</v>
      </c>
      <c r="F60" s="60" t="s">
        <v>690</v>
      </c>
      <c r="G60" s="56" t="s">
        <v>19</v>
      </c>
      <c r="H60" s="56" t="s">
        <v>70</v>
      </c>
      <c r="I60" s="56" t="s">
        <v>21</v>
      </c>
      <c r="J60" s="57" t="n">
        <v>45777</v>
      </c>
      <c r="K60" s="56" t="n">
        <v>2</v>
      </c>
      <c r="L60" s="59" t="n">
        <v>0.0791666666666667</v>
      </c>
      <c r="M60" s="61" t="s">
        <v>691</v>
      </c>
      <c r="N60" s="60"/>
      <c r="O60" s="56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 customFormat="false" ht="22.5" hidden="false" customHeight="true" outlineLevel="0" collapsed="false">
      <c r="A61" s="57" t="n">
        <v>45776</v>
      </c>
      <c r="B61" s="1" t="n">
        <v>9</v>
      </c>
      <c r="C61" s="75" t="str">
        <f aca="false">IF(ISBLANK(A61), "--", PROPER(TEXT(A61, "dddd")))</f>
        <v>Tuesday</v>
      </c>
      <c r="D61" s="56" t="s">
        <v>16</v>
      </c>
      <c r="E61" s="56" t="s">
        <v>17</v>
      </c>
      <c r="F61" s="60" t="s">
        <v>692</v>
      </c>
      <c r="G61" s="56" t="s">
        <v>19</v>
      </c>
      <c r="H61" s="56" t="s">
        <v>449</v>
      </c>
      <c r="I61" s="56" t="s">
        <v>21</v>
      </c>
      <c r="J61" s="57" t="n">
        <v>45776</v>
      </c>
      <c r="K61" s="56" t="n">
        <v>1</v>
      </c>
      <c r="L61" s="76" t="n">
        <v>0.0131944444444444</v>
      </c>
      <c r="M61" s="31" t="s">
        <v>693</v>
      </c>
      <c r="N61" s="60"/>
      <c r="O61" s="56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</row>
    <row r="62" customFormat="false" ht="22.5" hidden="false" customHeight="true" outlineLevel="0" collapsed="false">
      <c r="A62" s="57" t="n">
        <v>45776</v>
      </c>
      <c r="B62" s="1" t="n">
        <v>9</v>
      </c>
      <c r="C62" s="75" t="str">
        <f aca="false">IF(ISBLANK(A62), "--", PROPER(TEXT(A62, "dddd")))</f>
        <v>Tuesday</v>
      </c>
      <c r="D62" s="56" t="s">
        <v>16</v>
      </c>
      <c r="E62" s="56" t="s">
        <v>17</v>
      </c>
      <c r="F62" s="60" t="s">
        <v>694</v>
      </c>
      <c r="G62" s="56" t="s">
        <v>19</v>
      </c>
      <c r="H62" s="56" t="s">
        <v>449</v>
      </c>
      <c r="I62" s="56" t="s">
        <v>21</v>
      </c>
      <c r="J62" s="57" t="n">
        <v>45776</v>
      </c>
      <c r="K62" s="56" t="n">
        <v>1</v>
      </c>
      <c r="L62" s="76" t="n">
        <v>0.0118055555555556</v>
      </c>
      <c r="M62" s="31" t="s">
        <v>695</v>
      </c>
      <c r="N62" s="60"/>
      <c r="O62" s="56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 customFormat="false" ht="22.5" hidden="false" customHeight="true" outlineLevel="0" collapsed="false">
      <c r="A63" s="57" t="n">
        <v>45776</v>
      </c>
      <c r="B63" s="1" t="n">
        <v>9</v>
      </c>
      <c r="C63" s="75" t="str">
        <f aca="false">IF(ISBLANK(A63), "--", PROPER(TEXT(A63, "dddd")))</f>
        <v>Tuesday</v>
      </c>
      <c r="D63" s="56" t="s">
        <v>85</v>
      </c>
      <c r="E63" s="56" t="s">
        <v>17</v>
      </c>
      <c r="F63" s="60" t="s">
        <v>696</v>
      </c>
      <c r="G63" s="56" t="s">
        <v>77</v>
      </c>
      <c r="H63" s="56" t="s">
        <v>74</v>
      </c>
      <c r="I63" s="56" t="s">
        <v>21</v>
      </c>
      <c r="J63" s="57" t="n">
        <v>45776</v>
      </c>
      <c r="K63" s="56" t="n">
        <v>1</v>
      </c>
      <c r="L63" s="76" t="n">
        <v>0.0347222222222222</v>
      </c>
      <c r="M63" s="31" t="s">
        <v>697</v>
      </c>
      <c r="N63" s="60"/>
      <c r="O63" s="56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 customFormat="false" ht="22.5" hidden="false" customHeight="true" outlineLevel="0" collapsed="false">
      <c r="A64" s="57" t="n">
        <v>45777</v>
      </c>
      <c r="B64" s="1" t="n">
        <v>9</v>
      </c>
      <c r="C64" s="75" t="str">
        <f aca="false">IF(ISBLANK(A64), "--", PROPER(TEXT(A64, "dddd")))</f>
        <v>Wednesday</v>
      </c>
      <c r="D64" s="56" t="s">
        <v>16</v>
      </c>
      <c r="E64" s="56" t="s">
        <v>17</v>
      </c>
      <c r="F64" s="60" t="s">
        <v>698</v>
      </c>
      <c r="G64" s="56" t="s">
        <v>19</v>
      </c>
      <c r="H64" s="56" t="s">
        <v>24</v>
      </c>
      <c r="I64" s="56" t="s">
        <v>21</v>
      </c>
      <c r="J64" s="57" t="n">
        <v>45777</v>
      </c>
      <c r="K64" s="56" t="n">
        <v>0</v>
      </c>
      <c r="L64" s="56" t="n">
        <v>0</v>
      </c>
      <c r="M64" s="61" t="s">
        <v>699</v>
      </c>
      <c r="N64" s="60"/>
      <c r="O64" s="56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 customFormat="false" ht="22.5" hidden="false" customHeight="true" outlineLevel="0" collapsed="false">
      <c r="A65" s="57" t="n">
        <v>45777</v>
      </c>
      <c r="B65" s="1" t="n">
        <v>9</v>
      </c>
      <c r="C65" s="75" t="str">
        <f aca="false">IF(ISBLANK(A65), "--", PROPER(TEXT(A65, "dddd")))</f>
        <v>Wednesday</v>
      </c>
      <c r="D65" s="56" t="s">
        <v>16</v>
      </c>
      <c r="E65" s="56" t="s">
        <v>17</v>
      </c>
      <c r="F65" s="60" t="s">
        <v>700</v>
      </c>
      <c r="G65" s="56" t="s">
        <v>19</v>
      </c>
      <c r="H65" s="56" t="s">
        <v>449</v>
      </c>
      <c r="I65" s="56" t="s">
        <v>21</v>
      </c>
      <c r="J65" s="57" t="n">
        <v>45777</v>
      </c>
      <c r="K65" s="56" t="n">
        <v>2</v>
      </c>
      <c r="L65" s="59" t="n">
        <v>0.0368055555555556</v>
      </c>
      <c r="M65" s="61" t="s">
        <v>701</v>
      </c>
      <c r="N65" s="60"/>
      <c r="O65" s="56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 customFormat="false" ht="22.5" hidden="false" customHeight="true" outlineLevel="0" collapsed="false">
      <c r="A66" s="78" t="n">
        <v>45777</v>
      </c>
      <c r="B66" s="1" t="n">
        <v>9</v>
      </c>
      <c r="C66" s="79" t="str">
        <f aca="false">IF(ISBLANK(A66), "--", PROPER(TEXT(A66, "dddd")))</f>
        <v>Wednesday</v>
      </c>
      <c r="D66" s="80" t="s">
        <v>16</v>
      </c>
      <c r="E66" s="81" t="s">
        <v>17</v>
      </c>
      <c r="F66" s="60" t="s">
        <v>702</v>
      </c>
      <c r="G66" s="56" t="s">
        <v>19</v>
      </c>
      <c r="H66" s="56" t="s">
        <v>449</v>
      </c>
      <c r="I66" s="56" t="s">
        <v>21</v>
      </c>
      <c r="J66" s="57" t="n">
        <v>45777</v>
      </c>
      <c r="K66" s="56" t="n">
        <v>0.5</v>
      </c>
      <c r="L66" s="59" t="n">
        <v>0.0131944444444444</v>
      </c>
      <c r="M66" s="61" t="s">
        <v>703</v>
      </c>
      <c r="N66" s="60"/>
      <c r="O66" s="56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 customFormat="false" ht="22.5" hidden="false" customHeight="true" outlineLevel="0" collapsed="false">
      <c r="A67" s="63" t="n">
        <v>45777</v>
      </c>
      <c r="B67" s="1" t="n">
        <v>9</v>
      </c>
      <c r="C67" s="75" t="str">
        <f aca="false">IF(ISBLANK(A67), "--", PROPER(TEXT(A67, "dddd")))</f>
        <v>Wednesday</v>
      </c>
      <c r="D67" s="56" t="s">
        <v>126</v>
      </c>
      <c r="E67" s="56" t="s">
        <v>17</v>
      </c>
      <c r="F67" s="60" t="s">
        <v>704</v>
      </c>
      <c r="G67" s="56" t="s">
        <v>19</v>
      </c>
      <c r="H67" s="56" t="s">
        <v>449</v>
      </c>
      <c r="I67" s="56" t="s">
        <v>21</v>
      </c>
      <c r="J67" s="57" t="n">
        <v>45783</v>
      </c>
      <c r="K67" s="56" t="n">
        <v>3</v>
      </c>
      <c r="L67" s="59" t="n">
        <v>0.176388888888889</v>
      </c>
      <c r="M67" s="61" t="s">
        <v>705</v>
      </c>
      <c r="N67" s="60"/>
      <c r="O67" s="56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customFormat="false" ht="22.5" hidden="false" customHeight="true" outlineLevel="0" collapsed="false">
      <c r="A68" s="63" t="n">
        <v>45777</v>
      </c>
      <c r="B68" s="1" t="n">
        <v>9</v>
      </c>
      <c r="C68" s="75" t="str">
        <f aca="false">IF(ISBLANK(A68), "--", PROPER(TEXT(A68, "dddd")))</f>
        <v>Wednesday</v>
      </c>
      <c r="D68" s="56" t="s">
        <v>85</v>
      </c>
      <c r="E68" s="56" t="s">
        <v>17</v>
      </c>
      <c r="F68" s="60" t="s">
        <v>706</v>
      </c>
      <c r="G68" s="56" t="s">
        <v>19</v>
      </c>
      <c r="H68" s="56" t="s">
        <v>70</v>
      </c>
      <c r="I68" s="56" t="s">
        <v>21</v>
      </c>
      <c r="J68" s="57" t="n">
        <v>45779</v>
      </c>
      <c r="K68" s="56" t="n">
        <v>0.5</v>
      </c>
      <c r="L68" s="59" t="n">
        <v>0.0569444444444444</v>
      </c>
      <c r="M68" s="61" t="s">
        <v>707</v>
      </c>
      <c r="N68" s="60"/>
      <c r="O68" s="56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</row>
    <row r="914" customFormat="false" ht="15.75" hidden="false" customHeight="false" outlineLevel="0" collapsed="false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6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</row>
    <row r="915" customFormat="false" ht="15.75" hidden="false" customHeight="false" outlineLevel="0" collapsed="false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6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</row>
    <row r="916" customFormat="false" ht="15.75" hidden="false" customHeight="false" outlineLevel="0" collapsed="false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6"/>
      <c r="L916" s="44"/>
      <c r="M916" s="44"/>
      <c r="N916" s="44"/>
      <c r="O916" s="44"/>
    </row>
    <row r="917" customFormat="false" ht="15.75" hidden="false" customHeight="false" outlineLevel="0" collapsed="false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6"/>
      <c r="L917" s="44"/>
      <c r="M917" s="44"/>
      <c r="N917" s="44"/>
      <c r="O917" s="44"/>
    </row>
    <row r="918" customFormat="false" ht="15.75" hidden="false" customHeight="false" outlineLevel="0" collapsed="false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6"/>
      <c r="L918" s="44"/>
      <c r="M918" s="44"/>
      <c r="N918" s="44"/>
      <c r="O918" s="44"/>
    </row>
    <row r="919" customFormat="false" ht="15.75" hidden="false" customHeight="false" outlineLevel="0" collapsed="false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6"/>
      <c r="L919" s="44"/>
      <c r="M919" s="44"/>
      <c r="N919" s="44"/>
      <c r="O919" s="44"/>
    </row>
    <row r="920" customFormat="false" ht="15.75" hidden="false" customHeight="false" outlineLevel="0" collapsed="false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6"/>
      <c r="L920" s="44"/>
      <c r="M920" s="44"/>
      <c r="N920" s="44"/>
      <c r="O920" s="44"/>
    </row>
    <row r="921" customFormat="false" ht="15.75" hidden="false" customHeight="false" outlineLevel="0" collapsed="false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6"/>
      <c r="L921" s="44"/>
      <c r="M921" s="44"/>
      <c r="N921" s="44"/>
      <c r="O921" s="44"/>
    </row>
    <row r="922" customFormat="false" ht="15.75" hidden="false" customHeight="false" outlineLevel="0" collapsed="false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6"/>
      <c r="L922" s="44"/>
      <c r="M922" s="44"/>
      <c r="N922" s="44"/>
      <c r="O922" s="44"/>
    </row>
    <row r="923" customFormat="false" ht="15.75" hidden="false" customHeight="false" outlineLevel="0" collapsed="false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6"/>
      <c r="L923" s="44"/>
      <c r="M923" s="44"/>
      <c r="N923" s="44"/>
      <c r="O923" s="44"/>
    </row>
    <row r="924" customFormat="false" ht="15.75" hidden="false" customHeight="false" outlineLevel="0" collapsed="false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6"/>
      <c r="L924" s="44"/>
      <c r="M924" s="44"/>
      <c r="N924" s="44"/>
      <c r="O924" s="44"/>
    </row>
    <row r="925" customFormat="false" ht="15.75" hidden="false" customHeight="false" outlineLevel="0" collapsed="false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6"/>
      <c r="L925" s="44"/>
      <c r="M925" s="44"/>
      <c r="N925" s="44"/>
      <c r="O925" s="44"/>
    </row>
    <row r="926" customFormat="false" ht="15.75" hidden="false" customHeight="false" outlineLevel="0" collapsed="false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6"/>
      <c r="L926" s="44"/>
      <c r="M926" s="44"/>
      <c r="N926" s="44"/>
      <c r="O926" s="44"/>
    </row>
    <row r="927" customFormat="false" ht="15.75" hidden="false" customHeight="false" outlineLevel="0" collapsed="false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6"/>
      <c r="L927" s="44"/>
      <c r="M927" s="44"/>
      <c r="N927" s="44"/>
      <c r="O927" s="44"/>
    </row>
    <row r="928" customFormat="false" ht="15.75" hidden="false" customHeight="false" outlineLevel="0" collapsed="false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6"/>
      <c r="L928" s="44"/>
      <c r="M928" s="44"/>
      <c r="N928" s="44"/>
      <c r="O928" s="44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false" outlineLevel="0" collapsed="false">
      <c r="B936" s="44"/>
      <c r="K936" s="46"/>
    </row>
    <row r="937" customFormat="false" ht="15.75" hidden="false" customHeight="false" outlineLevel="0" collapsed="false">
      <c r="B937" s="44"/>
      <c r="K937" s="46"/>
    </row>
    <row r="938" customFormat="false" ht="15.75" hidden="false" customHeight="false" outlineLevel="0" collapsed="false">
      <c r="B938" s="44"/>
      <c r="K938" s="46"/>
    </row>
    <row r="939" customFormat="false" ht="15.75" hidden="false" customHeight="false" outlineLevel="0" collapsed="false">
      <c r="B939" s="44"/>
      <c r="K939" s="46"/>
    </row>
    <row r="940" customFormat="false" ht="15.75" hidden="false" customHeight="false" outlineLevel="0" collapsed="false">
      <c r="B940" s="44"/>
      <c r="K940" s="46"/>
    </row>
    <row r="941" customFormat="false" ht="15.75" hidden="false" customHeight="false" outlineLevel="0" collapsed="false">
      <c r="B941" s="44"/>
      <c r="K941" s="46"/>
    </row>
    <row r="942" customFormat="false" ht="15.75" hidden="false" customHeight="false" outlineLevel="0" collapsed="false">
      <c r="B942" s="44"/>
      <c r="K942" s="46"/>
    </row>
    <row r="943" customFormat="false" ht="15.75" hidden="false" customHeight="false" outlineLevel="0" collapsed="false">
      <c r="B943" s="44"/>
      <c r="K943" s="46"/>
    </row>
    <row r="944" customFormat="false" ht="15.75" hidden="false" customHeight="false" outlineLevel="0" collapsed="false">
      <c r="B944" s="44"/>
      <c r="K944" s="46"/>
    </row>
    <row r="945" customFormat="false" ht="15.75" hidden="false" customHeight="false" outlineLevel="0" collapsed="false">
      <c r="B945" s="44"/>
      <c r="K945" s="46"/>
    </row>
    <row r="946" customFormat="false" ht="15.75" hidden="false" customHeight="false" outlineLevel="0" collapsed="false">
      <c r="B946" s="44"/>
      <c r="K946" s="46"/>
    </row>
    <row r="947" customFormat="false" ht="15.75" hidden="false" customHeight="false" outlineLevel="0" collapsed="false">
      <c r="B947" s="44"/>
      <c r="K947" s="46"/>
    </row>
    <row r="948" customFormat="false" ht="15.75" hidden="false" customHeight="false" outlineLevel="0" collapsed="false">
      <c r="B948" s="44"/>
      <c r="K948" s="46"/>
    </row>
    <row r="949" customFormat="false" ht="15.75" hidden="false" customHeight="false" outlineLevel="0" collapsed="false">
      <c r="B949" s="44"/>
      <c r="K949" s="46"/>
    </row>
    <row r="950" customFormat="false" ht="15.75" hidden="false" customHeight="false" outlineLevel="0" collapsed="false">
      <c r="B950" s="44"/>
      <c r="K950" s="46"/>
    </row>
    <row r="951" customFormat="false" ht="15.75" hidden="false" customHeight="false" outlineLevel="0" collapsed="false">
      <c r="B951" s="44"/>
      <c r="K951" s="46"/>
    </row>
    <row r="952" customFormat="false" ht="15.75" hidden="false" customHeight="false" outlineLevel="0" collapsed="false">
      <c r="B952" s="44"/>
      <c r="K952" s="46"/>
    </row>
    <row r="953" customFormat="false" ht="15.75" hidden="false" customHeight="false" outlineLevel="0" collapsed="false">
      <c r="B953" s="44"/>
      <c r="K953" s="46"/>
    </row>
    <row r="954" customFormat="false" ht="15.75" hidden="false" customHeight="false" outlineLevel="0" collapsed="false">
      <c r="B954" s="44"/>
      <c r="K954" s="46"/>
    </row>
    <row r="955" customFormat="false" ht="15.75" hidden="false" customHeight="false" outlineLevel="0" collapsed="false">
      <c r="B955" s="44"/>
      <c r="K955" s="46"/>
    </row>
    <row r="956" customFormat="false" ht="15.75" hidden="false" customHeight="false" outlineLevel="0" collapsed="false">
      <c r="B956" s="44"/>
      <c r="K956" s="46"/>
    </row>
    <row r="957" customFormat="false" ht="15.75" hidden="false" customHeight="false" outlineLevel="0" collapsed="false">
      <c r="B957" s="44"/>
      <c r="K957" s="46"/>
    </row>
    <row r="958" customFormat="false" ht="15.75" hidden="false" customHeight="false" outlineLevel="0" collapsed="false">
      <c r="B958" s="44"/>
      <c r="K958" s="46"/>
    </row>
    <row r="959" customFormat="false" ht="15.75" hidden="false" customHeight="false" outlineLevel="0" collapsed="false">
      <c r="B959" s="44"/>
      <c r="K959" s="46"/>
    </row>
    <row r="960" customFormat="false" ht="15.75" hidden="false" customHeight="false" outlineLevel="0" collapsed="false">
      <c r="B960" s="44"/>
      <c r="K960" s="46"/>
    </row>
    <row r="961" customFormat="false" ht="15.75" hidden="false" customHeight="false" outlineLevel="0" collapsed="false">
      <c r="B961" s="44"/>
      <c r="K961" s="46"/>
    </row>
    <row r="962" customFormat="false" ht="15.75" hidden="false" customHeight="false" outlineLevel="0" collapsed="false">
      <c r="B962" s="44"/>
      <c r="K962" s="46"/>
    </row>
    <row r="963" customFormat="false" ht="15.75" hidden="false" customHeight="false" outlineLevel="0" collapsed="false">
      <c r="B963" s="44"/>
      <c r="K963" s="46"/>
    </row>
    <row r="964" customFormat="false" ht="15.75" hidden="false" customHeight="false" outlineLevel="0" collapsed="false">
      <c r="B964" s="44"/>
      <c r="K964" s="46"/>
    </row>
    <row r="965" customFormat="false" ht="15.75" hidden="false" customHeight="false" outlineLevel="0" collapsed="false">
      <c r="B965" s="44"/>
      <c r="K965" s="46"/>
    </row>
  </sheetData>
  <dataValidations count="9">
    <dataValidation allowBlank="true" errorStyle="stop" operator="between" showDropDown="true" showErrorMessage="false" showInputMessage="false" sqref="F2:F68 N2:N68" type="none">
      <formula1>0</formula1>
      <formula2>0</formula2>
    </dataValidation>
    <dataValidation allowBlank="true" errorStyle="stop" operator="between" showDropDown="false" showErrorMessage="true" showInputMessage="false" sqref="C2:C68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D2:D68" type="list">
      <formula1>"Faktur,Backpro,Zuckerman,Facialart,Dejusticia,Happycinamon,Nulab,Ncarb,ECOS,IDK,BMS,--,Swapps,WWilson,Tabby,Smart Web Apps,Comfinagro,IMC,Geosig"</formula1>
      <formula2>0</formula2>
    </dataValidation>
    <dataValidation allowBlank="true" errorStyle="stop" operator="between" showDropDown="false" showErrorMessage="true" showInputMessage="false" sqref="G2:G68" type="list">
      <formula1>"Alta,Normal,Urgente,Baja,--"</formula1>
      <formula2>0</formula2>
    </dataValidation>
    <dataValidation allowBlank="true" errorStyle="stop" operator="between" showDropDown="false" showErrorMessage="false" showInputMessage="false" sqref="I2:I68" type="list">
      <formula1>"Closed,Ready for testing ,Open,Under review,Partially Done,In progress,Approved,--,Needs more work,Deploy to production"</formula1>
      <formula2>0</formula2>
    </dataValidation>
    <dataValidation allowBlank="true" errorStyle="stop" operator="between" showDropDown="true" showErrorMessage="false" showInputMessage="false" sqref="A2:A68 J2:J68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E2:E68" type="list">
      <formula1>"Ajustes,Soporte,Mejoras,Corrección,Configuraciones,Revisión,--,Pagina Web,IT,Error,Blue,SOLICITUD ,PENDIENTE"</formula1>
      <formula2>0</formula2>
    </dataValidation>
    <dataValidation allowBlank="true" errorStyle="stop" operator="between" showDropDown="true" showErrorMessage="false" showInputMessage="false" sqref="K2:K68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H2:H68" type="list">
      <formula1>"Iván,Carlos,Gustavo,Diego,Andrés,JC,José,Héctor,Mateo,--,Blue,Carlos M,Johan"</formula1>
      <formula2>0</formula2>
    </dataValidation>
  </dataValidations>
  <hyperlinks>
    <hyperlink ref="M2" r:id="rId2" display="https://app.clickup.com/t/86b4fph1k"/>
    <hyperlink ref="M3" r:id="rId3" display="https://app.clickup.com/t/86b4ftmq4"/>
    <hyperlink ref="M4" r:id="rId4" display="https://app.clickup.com/t/86b4fnweq"/>
    <hyperlink ref="M5" r:id="rId5" display="https://app.clickup.com/t/86b4fxre9"/>
    <hyperlink ref="M6" r:id="rId6" display="https://app.clickup.com/t/86b4gefgy"/>
    <hyperlink ref="M7" r:id="rId7" display="https://app.clickup.com/t/86b4gu6cv"/>
    <hyperlink ref="M8" r:id="rId8" display="https://app.clickup.com/t/86b4gtdtg"/>
    <hyperlink ref="M9" r:id="rId9" display="https://app.clickup.com/t/86b4hcznk"/>
    <hyperlink ref="M10" r:id="rId10" display="https://app.clickup.com/t/86b4hd5gw"/>
    <hyperlink ref="M11" r:id="rId11" display="https://app.clickup.com/t/86b4hn2hg"/>
    <hyperlink ref="M12" r:id="rId12" display="https://app.clickup.com/t/454056/SLA-1344"/>
    <hyperlink ref="M13" r:id="rId13" display="https://app.clickup.com/t/86b4j2x59"/>
    <hyperlink ref="M14" r:id="rId14" display="https://app.clickup.com/t/86b4j2yhp"/>
    <hyperlink ref="M15" r:id="rId15" display="https://app.clickup.com/t/86b4j4zr3"/>
    <hyperlink ref="M16" r:id="rId16" display="https://app.clickup.com/t/86b4jnbqm"/>
    <hyperlink ref="M17" r:id="rId17" display="https://app.clickup.com/t/86b4jq22q"/>
    <hyperlink ref="M18" r:id="rId18" display="https://app.clickup.com/t/86b4k61m5"/>
    <hyperlink ref="M19" r:id="rId19" display="https://app.clickup.com/t/86b4k6h7r"/>
    <hyperlink ref="M20" r:id="rId20" display="https://app.clickup.com/t/86b4kkk76"/>
    <hyperlink ref="M21" r:id="rId21" display="https://app.clickup.com/t/86b4kkz67"/>
    <hyperlink ref="M22" r:id="rId22" display="https://app.clickup.com/t/86b4kkw3d"/>
    <hyperlink ref="M23" r:id="rId23" display="https://app.clickup.com/t/86b4knnr5"/>
    <hyperlink ref="M24" r:id="rId24" display="https://app.clickup.com/t/86b4kr8bg"/>
    <hyperlink ref="M25" r:id="rId25" display="https://app.clickup.com/t/86b4krcng"/>
    <hyperlink ref="M26" r:id="rId26" display="https://app.clickup.com/t/86b4m8pkp"/>
    <hyperlink ref="M27" r:id="rId27" display="https://app.clickup.com/t/86b4n2h5d"/>
    <hyperlink ref="M28" r:id="rId28" display="https://app.clickup.com/t/86b4nepym"/>
    <hyperlink ref="M29" r:id="rId29" display="https://app.clickup.com/t/454056/ZL-1550"/>
    <hyperlink ref="M30" r:id="rId30" display="https://app.clickup.com/t/86b4ng15j"/>
    <hyperlink ref="M31" r:id="rId31" display="https://app.clickup.com/t/86b4npf8k"/>
    <hyperlink ref="M32" r:id="rId32" display="https://app.clickup.com/t/86b4nnzvr"/>
    <hyperlink ref="M33" r:id="rId33" display="https://app.clickup.com/t/86b4nqwhw"/>
    <hyperlink ref="M34" r:id="rId34" display="https://app.clickup.com/t/86b4ny2e3"/>
    <hyperlink ref="M35" r:id="rId35" display="https://app.clickup.com/t/86b4p5a86"/>
    <hyperlink ref="M36" r:id="rId36" display="https://app.clickup.com/t/86b4qeg0z"/>
    <hyperlink ref="M37" r:id="rId37" display="https://app.clickup.com/t/86b4qeaa5"/>
    <hyperlink ref="M38" r:id="rId38" display="https://app.clickup.com/t/86b4qgng4"/>
    <hyperlink ref="M39" r:id="rId39" display="https://app.clickup.com/t/86b4qjajm"/>
    <hyperlink ref="M41" r:id="rId40" display="https://app.clickup.com/t/86b4qgdy3"/>
    <hyperlink ref="M42" r:id="rId41" display="https://app.clickup.com/t/86b4rca4p"/>
    <hyperlink ref="M43" r:id="rId42" display="https://app.clickup.com/t/86b4rcuyt"/>
    <hyperlink ref="M44" r:id="rId43" display="https://app.clickup.com/t/86b4rd9rw"/>
    <hyperlink ref="M45" r:id="rId44" display="https://app.clickup.com/t/86b4rtuac"/>
    <hyperlink ref="M46" r:id="rId45" display="https://app.clickup.com/t/86b4rtzr6"/>
    <hyperlink ref="M47" r:id="rId46" display="https://app.clickup.com/t/86b4rtzwq"/>
    <hyperlink ref="M48" r:id="rId47" display="https://app.clickup.com/t/86b4t210z"/>
    <hyperlink ref="M49" r:id="rId48" display="https://app.clickup.com/t/86b4tbg1p"/>
    <hyperlink ref="M50" r:id="rId49" display="https://app.clickup.com/t/86b4tbj8j"/>
    <hyperlink ref="M51" r:id="rId50" display="https://app.clickup.com/t/86b4tek5d"/>
    <hyperlink ref="M52" r:id="rId51" display="https://app.clickup.com/t/86b4u4u6j"/>
    <hyperlink ref="M53" r:id="rId52" display="https://app.clickup.com/t/86b4tn4d5"/>
    <hyperlink ref="M54" r:id="rId53" display="https://app.clickup.com/t/86b4ubcre"/>
    <hyperlink ref="M55" r:id="rId54" display="https://app.clickup.com/t/86b4u63xb"/>
    <hyperlink ref="M56" r:id="rId55" display="https://app.clickup.com/t/86b4u78yz"/>
    <hyperlink ref="M57" r:id="rId56" display="https://app.clickup.com/t/86b4u2kga"/>
    <hyperlink ref="M58" r:id="rId57" display="https://app.clickup.com/t/86b4u32cj"/>
    <hyperlink ref="M59" r:id="rId58" display="https://app.clickup.com/t/86b4uc2z6"/>
    <hyperlink ref="M60" r:id="rId59" display="https://app.clickup.com/t/86b4uw8q5"/>
    <hyperlink ref="M61" r:id="rId60" display="https://app.clickup.com/t/86b4uwz9q"/>
    <hyperlink ref="M62" r:id="rId61" display="https://app.clickup.com/t/86b4uwvym"/>
    <hyperlink ref="M63" r:id="rId62" display="https://app.clickup.com/t/86b4uy2an"/>
    <hyperlink ref="M64" r:id="rId63" display="https://app.clickup.com/t/86b4v5rp6"/>
    <hyperlink ref="M65" r:id="rId64" display="https://app.clickup.com/t/86b4vanx0"/>
    <hyperlink ref="M66" r:id="rId65" display="https://app.clickup.com/t/86b4vanre"/>
    <hyperlink ref="M67" r:id="rId66" display="https://app.clickup.com/t/86b4v4j0b"/>
    <hyperlink ref="M68" r:id="rId67" display="https://app.clickup.com/t/86b4v31yj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68"/>
  <tableParts>
    <tablePart r:id="rId6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true"/>
  </sheetPr>
  <dimension ref="A1:AH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B50" activeCellId="0" sqref="B5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3.75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23.63"/>
    <col collapsed="false" customWidth="true" hidden="false" outlineLevel="0" max="15" min="15" style="1" width="64.89"/>
  </cols>
  <sheetData>
    <row r="1" customFormat="false" ht="22.5" hidden="false" customHeight="true" outlineLevel="0" collapsed="false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3" t="s">
        <v>13</v>
      </c>
      <c r="O1" s="51" t="s">
        <v>14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customFormat="false" ht="22.5" hidden="false" customHeight="true" outlineLevel="0" collapsed="false">
      <c r="A2" s="63" t="n">
        <v>45778</v>
      </c>
      <c r="B2" s="1" t="n">
        <v>9</v>
      </c>
      <c r="C2" s="75" t="str">
        <f aca="false">IF(ISBLANK(A2), "--", PROPER(TEXT(A2, "dddd")))</f>
        <v>Thursday</v>
      </c>
      <c r="D2" s="56" t="s">
        <v>85</v>
      </c>
      <c r="E2" s="56" t="s">
        <v>17</v>
      </c>
      <c r="F2" s="32" t="s">
        <v>708</v>
      </c>
      <c r="G2" s="56" t="s">
        <v>19</v>
      </c>
      <c r="H2" s="56" t="s">
        <v>74</v>
      </c>
      <c r="I2" s="56" t="s">
        <v>21</v>
      </c>
      <c r="J2" s="57" t="n">
        <v>45785</v>
      </c>
      <c r="K2" s="58" t="n">
        <v>2</v>
      </c>
      <c r="L2" s="59" t="n">
        <v>0.121527777777778</v>
      </c>
      <c r="M2" s="31" t="s">
        <v>709</v>
      </c>
      <c r="N2" s="60"/>
      <c r="O2" s="56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customFormat="false" ht="22.5" hidden="false" customHeight="true" outlineLevel="0" collapsed="false">
      <c r="A3" s="57" t="n">
        <v>45778</v>
      </c>
      <c r="B3" s="1" t="n">
        <v>9</v>
      </c>
      <c r="C3" s="75" t="str">
        <f aca="false">IF(ISBLANK(A3), "--", PROPER(TEXT(A3, "dddd")))</f>
        <v>Thursday</v>
      </c>
      <c r="D3" s="56" t="s">
        <v>130</v>
      </c>
      <c r="E3" s="56" t="s">
        <v>710</v>
      </c>
      <c r="F3" s="60" t="s">
        <v>711</v>
      </c>
      <c r="G3" s="56" t="s">
        <v>19</v>
      </c>
      <c r="H3" s="56" t="s">
        <v>70</v>
      </c>
      <c r="I3" s="56" t="s">
        <v>21</v>
      </c>
      <c r="J3" s="57" t="n">
        <v>45782</v>
      </c>
      <c r="K3" s="58" t="n">
        <v>2</v>
      </c>
      <c r="L3" s="59" t="n">
        <v>0.0493055555555556</v>
      </c>
      <c r="M3" s="61" t="s">
        <v>712</v>
      </c>
      <c r="N3" s="60"/>
      <c r="O3" s="56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customFormat="false" ht="22.5" hidden="false" customHeight="true" outlineLevel="0" collapsed="false">
      <c r="A4" s="57" t="n">
        <v>45779</v>
      </c>
      <c r="B4" s="1" t="n">
        <v>9</v>
      </c>
      <c r="C4" s="75" t="str">
        <f aca="false">IF(ISBLANK(A4), "--", PROPER(TEXT(A4, "dddd")))</f>
        <v>Friday</v>
      </c>
      <c r="D4" s="56" t="s">
        <v>16</v>
      </c>
      <c r="E4" s="56" t="s">
        <v>17</v>
      </c>
      <c r="F4" s="60" t="s">
        <v>713</v>
      </c>
      <c r="G4" s="56" t="s">
        <v>19</v>
      </c>
      <c r="H4" s="56" t="s">
        <v>449</v>
      </c>
      <c r="I4" s="56" t="s">
        <v>21</v>
      </c>
      <c r="J4" s="57" t="n">
        <v>45779</v>
      </c>
      <c r="K4" s="58" t="n">
        <v>2</v>
      </c>
      <c r="L4" s="59" t="n">
        <v>0.0472222222222222</v>
      </c>
      <c r="M4" s="61" t="s">
        <v>714</v>
      </c>
      <c r="N4" s="60"/>
      <c r="O4" s="56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customFormat="false" ht="22.5" hidden="false" customHeight="true" outlineLevel="0" collapsed="false">
      <c r="A5" s="57" t="n">
        <v>45779</v>
      </c>
      <c r="B5" s="1" t="n">
        <v>9</v>
      </c>
      <c r="C5" s="75" t="str">
        <f aca="false">IF(ISBLANK(A5), "--", PROPER(TEXT(A5, "dddd")))</f>
        <v>Friday</v>
      </c>
      <c r="D5" s="56" t="s">
        <v>16</v>
      </c>
      <c r="E5" s="56" t="s">
        <v>17</v>
      </c>
      <c r="F5" s="60" t="s">
        <v>715</v>
      </c>
      <c r="G5" s="56" t="s">
        <v>19</v>
      </c>
      <c r="H5" s="56" t="s">
        <v>449</v>
      </c>
      <c r="I5" s="56" t="s">
        <v>21</v>
      </c>
      <c r="J5" s="57" t="n">
        <v>45779</v>
      </c>
      <c r="K5" s="58" t="n">
        <v>2</v>
      </c>
      <c r="L5" s="59" t="n">
        <v>0.0888888888888889</v>
      </c>
      <c r="M5" s="61" t="s">
        <v>716</v>
      </c>
      <c r="N5" s="60"/>
      <c r="O5" s="56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</row>
    <row r="6" customFormat="false" ht="22.5" hidden="false" customHeight="true" outlineLevel="0" collapsed="false">
      <c r="A6" s="57" t="n">
        <v>45779</v>
      </c>
      <c r="B6" s="1" t="n">
        <v>9</v>
      </c>
      <c r="C6" s="75" t="str">
        <f aca="false">IF(ISBLANK(A6), "--", PROPER(TEXT(A6, "dddd")))</f>
        <v>Friday</v>
      </c>
      <c r="D6" s="56" t="s">
        <v>167</v>
      </c>
      <c r="E6" s="56" t="s">
        <v>17</v>
      </c>
      <c r="F6" s="60" t="s">
        <v>717</v>
      </c>
      <c r="G6" s="56" t="s">
        <v>19</v>
      </c>
      <c r="H6" s="56" t="s">
        <v>449</v>
      </c>
      <c r="I6" s="56" t="s">
        <v>21</v>
      </c>
      <c r="J6" s="57" t="n">
        <v>45782</v>
      </c>
      <c r="K6" s="58" t="n">
        <v>1</v>
      </c>
      <c r="L6" s="59" t="n">
        <v>0.0347222222222222</v>
      </c>
      <c r="M6" s="31" t="s">
        <v>718</v>
      </c>
      <c r="N6" s="60"/>
      <c r="O6" s="56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customFormat="false" ht="22.5" hidden="false" customHeight="true" outlineLevel="0" collapsed="false">
      <c r="A7" s="57" t="n">
        <v>45783</v>
      </c>
      <c r="B7" s="1" t="n">
        <v>9</v>
      </c>
      <c r="C7" s="75" t="str">
        <f aca="false">IF(ISBLANK(A7), "--", PROPER(TEXT(A7, "dddd")))</f>
        <v>Tuesday</v>
      </c>
      <c r="D7" s="56" t="s">
        <v>16</v>
      </c>
      <c r="E7" s="56" t="s">
        <v>17</v>
      </c>
      <c r="F7" s="60" t="s">
        <v>719</v>
      </c>
      <c r="G7" s="56" t="s">
        <v>19</v>
      </c>
      <c r="H7" s="56" t="s">
        <v>449</v>
      </c>
      <c r="I7" s="56" t="s">
        <v>21</v>
      </c>
      <c r="J7" s="57" t="n">
        <v>45783</v>
      </c>
      <c r="K7" s="58" t="n">
        <v>1</v>
      </c>
      <c r="L7" s="59" t="n">
        <v>0.0159722222222222</v>
      </c>
      <c r="M7" s="31" t="s">
        <v>720</v>
      </c>
      <c r="N7" s="60"/>
      <c r="O7" s="56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customFormat="false" ht="22.5" hidden="false" customHeight="true" outlineLevel="0" collapsed="false">
      <c r="A8" s="57" t="n">
        <v>45783</v>
      </c>
      <c r="B8" s="1" t="n">
        <v>9</v>
      </c>
      <c r="C8" s="75" t="str">
        <f aca="false">IF(ISBLANK(A8), "--", PROPER(TEXT(A8, "dddd")))</f>
        <v>Tuesday</v>
      </c>
      <c r="D8" s="56" t="s">
        <v>16</v>
      </c>
      <c r="E8" s="56" t="s">
        <v>17</v>
      </c>
      <c r="F8" s="60" t="s">
        <v>721</v>
      </c>
      <c r="G8" s="56" t="s">
        <v>19</v>
      </c>
      <c r="H8" s="56" t="s">
        <v>449</v>
      </c>
      <c r="I8" s="56" t="s">
        <v>21</v>
      </c>
      <c r="J8" s="57" t="n">
        <v>45783</v>
      </c>
      <c r="K8" s="58" t="n">
        <v>2</v>
      </c>
      <c r="L8" s="59" t="n">
        <v>0.0215277777777778</v>
      </c>
      <c r="M8" s="61" t="s">
        <v>722</v>
      </c>
      <c r="N8" s="60"/>
      <c r="O8" s="56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customFormat="false" ht="22.5" hidden="false" customHeight="true" outlineLevel="0" collapsed="false">
      <c r="A9" s="57" t="n">
        <v>45784</v>
      </c>
      <c r="B9" s="1" t="n">
        <v>9</v>
      </c>
      <c r="C9" s="75" t="str">
        <f aca="false">IF(ISBLANK(A9), "--", PROPER(TEXT(A9, "dddd")))</f>
        <v>Wednesday</v>
      </c>
      <c r="D9" s="56" t="s">
        <v>16</v>
      </c>
      <c r="E9" s="56" t="s">
        <v>17</v>
      </c>
      <c r="F9" s="60" t="s">
        <v>723</v>
      </c>
      <c r="G9" s="56" t="s">
        <v>19</v>
      </c>
      <c r="H9" s="56" t="s">
        <v>449</v>
      </c>
      <c r="I9" s="56" t="s">
        <v>21</v>
      </c>
      <c r="J9" s="57" t="n">
        <v>45784</v>
      </c>
      <c r="K9" s="58" t="n">
        <v>1</v>
      </c>
      <c r="L9" s="59" t="n">
        <v>0.0166666666666667</v>
      </c>
      <c r="M9" s="61" t="s">
        <v>724</v>
      </c>
      <c r="N9" s="60"/>
      <c r="O9" s="56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customFormat="false" ht="22.5" hidden="false" customHeight="true" outlineLevel="0" collapsed="false">
      <c r="A10" s="57" t="n">
        <v>45784</v>
      </c>
      <c r="B10" s="1" t="n">
        <v>9</v>
      </c>
      <c r="C10" s="75" t="str">
        <f aca="false">IF(ISBLANK(A10), "--", PROPER(TEXT(A10, "dddd")))</f>
        <v>Wednesday</v>
      </c>
      <c r="D10" s="56" t="s">
        <v>16</v>
      </c>
      <c r="E10" s="56" t="s">
        <v>17</v>
      </c>
      <c r="F10" s="60" t="s">
        <v>725</v>
      </c>
      <c r="G10" s="56" t="s">
        <v>19</v>
      </c>
      <c r="H10" s="56" t="s">
        <v>70</v>
      </c>
      <c r="I10" s="56" t="s">
        <v>21</v>
      </c>
      <c r="J10" s="57" t="n">
        <v>45793</v>
      </c>
      <c r="K10" s="58" t="n">
        <v>2</v>
      </c>
      <c r="L10" s="59" t="n">
        <v>0.125694444444444</v>
      </c>
      <c r="M10" s="31" t="s">
        <v>726</v>
      </c>
      <c r="N10" s="60"/>
      <c r="O10" s="56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 customFormat="false" ht="22.5" hidden="false" customHeight="true" outlineLevel="0" collapsed="false">
      <c r="A11" s="57" t="n">
        <v>45784</v>
      </c>
      <c r="B11" s="1" t="n">
        <v>9</v>
      </c>
      <c r="C11" s="75" t="str">
        <f aca="false">IF(ISBLANK(A11), "--", PROPER(TEXT(A11, "dddd")))</f>
        <v>Wednesday</v>
      </c>
      <c r="D11" s="56" t="s">
        <v>85</v>
      </c>
      <c r="E11" s="56" t="s">
        <v>17</v>
      </c>
      <c r="F11" s="60" t="s">
        <v>727</v>
      </c>
      <c r="G11" s="56" t="s">
        <v>19</v>
      </c>
      <c r="H11" s="56" t="s">
        <v>70</v>
      </c>
      <c r="I11" s="56" t="s">
        <v>21</v>
      </c>
      <c r="J11" s="57" t="n">
        <v>45786</v>
      </c>
      <c r="K11" s="58" t="n">
        <v>0.5</v>
      </c>
      <c r="L11" s="59" t="n">
        <v>0.0375</v>
      </c>
      <c r="M11" s="61" t="s">
        <v>728</v>
      </c>
      <c r="N11" s="60"/>
      <c r="O11" s="56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 customFormat="false" ht="22.5" hidden="false" customHeight="true" outlineLevel="0" collapsed="false">
      <c r="A12" s="57" t="n">
        <v>45784</v>
      </c>
      <c r="B12" s="1" t="n">
        <v>9</v>
      </c>
      <c r="C12" s="75" t="str">
        <f aca="false">IF(ISBLANK(A12), "--", PROPER(TEXT(A12, "dddd")))</f>
        <v>Wednesday</v>
      </c>
      <c r="D12" s="56" t="s">
        <v>85</v>
      </c>
      <c r="E12" s="56" t="s">
        <v>17</v>
      </c>
      <c r="F12" s="60" t="s">
        <v>729</v>
      </c>
      <c r="G12" s="56" t="s">
        <v>19</v>
      </c>
      <c r="H12" s="56" t="s">
        <v>74</v>
      </c>
      <c r="I12" s="56" t="s">
        <v>21</v>
      </c>
      <c r="J12" s="57" t="n">
        <v>45796</v>
      </c>
      <c r="K12" s="58" t="n">
        <v>0.5</v>
      </c>
      <c r="L12" s="59" t="n">
        <v>0.00694444444444444</v>
      </c>
      <c r="M12" s="31" t="s">
        <v>730</v>
      </c>
      <c r="N12" s="60"/>
      <c r="O12" s="56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</row>
    <row r="13" customFormat="false" ht="22.5" hidden="false" customHeight="true" outlineLevel="0" collapsed="false">
      <c r="A13" s="57" t="n">
        <v>45785</v>
      </c>
      <c r="B13" s="1" t="n">
        <v>9</v>
      </c>
      <c r="C13" s="75" t="str">
        <f aca="false">IF(ISBLANK(A13), "--", PROPER(TEXT(A13, "dddd")))</f>
        <v>Thursday</v>
      </c>
      <c r="D13" s="56" t="s">
        <v>16</v>
      </c>
      <c r="E13" s="56" t="s">
        <v>17</v>
      </c>
      <c r="F13" s="60" t="s">
        <v>731</v>
      </c>
      <c r="G13" s="56" t="s">
        <v>19</v>
      </c>
      <c r="H13" s="56" t="s">
        <v>449</v>
      </c>
      <c r="I13" s="56" t="s">
        <v>21</v>
      </c>
      <c r="J13" s="57" t="n">
        <v>45785</v>
      </c>
      <c r="K13" s="58" t="n">
        <v>1</v>
      </c>
      <c r="L13" s="59" t="n">
        <v>0.0243055555555556</v>
      </c>
      <c r="M13" s="61" t="s">
        <v>732</v>
      </c>
      <c r="N13" s="60"/>
      <c r="O13" s="56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</row>
    <row r="14" customFormat="false" ht="22.5" hidden="false" customHeight="true" outlineLevel="0" collapsed="false">
      <c r="A14" s="57" t="n">
        <v>45785</v>
      </c>
      <c r="B14" s="1" t="n">
        <v>9</v>
      </c>
      <c r="C14" s="75" t="str">
        <f aca="false">IF(ISBLANK(A14), "--", PROPER(TEXT(A14, "dddd")))</f>
        <v>Thursday</v>
      </c>
      <c r="D14" s="56" t="s">
        <v>156</v>
      </c>
      <c r="E14" s="56" t="s">
        <v>17</v>
      </c>
      <c r="F14" s="60" t="s">
        <v>733</v>
      </c>
      <c r="G14" s="56" t="s">
        <v>19</v>
      </c>
      <c r="H14" s="56" t="s">
        <v>449</v>
      </c>
      <c r="I14" s="56" t="s">
        <v>21</v>
      </c>
      <c r="J14" s="57" t="n">
        <v>45789</v>
      </c>
      <c r="K14" s="58" t="n">
        <v>2</v>
      </c>
      <c r="L14" s="59" t="n">
        <v>0.0388888888888889</v>
      </c>
      <c r="M14" s="31" t="s">
        <v>734</v>
      </c>
      <c r="N14" s="60"/>
      <c r="O14" s="56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customFormat="false" ht="22.5" hidden="false" customHeight="true" outlineLevel="0" collapsed="false">
      <c r="A15" s="57" t="n">
        <v>45786</v>
      </c>
      <c r="B15" s="1" t="n">
        <v>9</v>
      </c>
      <c r="C15" s="75" t="str">
        <f aca="false">IF(ISBLANK(A15), "--", PROPER(TEXT(A15, "dddd")))</f>
        <v>Friday</v>
      </c>
      <c r="D15" s="56" t="s">
        <v>16</v>
      </c>
      <c r="E15" s="56" t="s">
        <v>17</v>
      </c>
      <c r="F15" s="60" t="s">
        <v>735</v>
      </c>
      <c r="G15" s="56" t="s">
        <v>19</v>
      </c>
      <c r="H15" s="56" t="s">
        <v>449</v>
      </c>
      <c r="I15" s="56" t="s">
        <v>21</v>
      </c>
      <c r="J15" s="57" t="n">
        <v>45786</v>
      </c>
      <c r="K15" s="58" t="n">
        <v>0.5</v>
      </c>
      <c r="L15" s="59" t="n">
        <v>0.0145833333333333</v>
      </c>
      <c r="M15" s="31" t="s">
        <v>736</v>
      </c>
      <c r="N15" s="60"/>
      <c r="O15" s="56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 customFormat="false" ht="22.5" hidden="false" customHeight="true" outlineLevel="0" collapsed="false">
      <c r="A16" s="57" t="n">
        <v>45786</v>
      </c>
      <c r="B16" s="1" t="n">
        <v>9</v>
      </c>
      <c r="C16" s="75" t="str">
        <f aca="false">IF(ISBLANK(A16), "--", PROPER(TEXT(A16, "dddd")))</f>
        <v>Friday</v>
      </c>
      <c r="D16" s="56" t="s">
        <v>16</v>
      </c>
      <c r="E16" s="56" t="s">
        <v>17</v>
      </c>
      <c r="F16" s="60" t="s">
        <v>737</v>
      </c>
      <c r="G16" s="56" t="s">
        <v>19</v>
      </c>
      <c r="H16" s="56" t="s">
        <v>449</v>
      </c>
      <c r="I16" s="56" t="s">
        <v>21</v>
      </c>
      <c r="J16" s="57" t="n">
        <v>45786</v>
      </c>
      <c r="K16" s="58" t="n">
        <v>1</v>
      </c>
      <c r="L16" s="59" t="n">
        <v>0.111111111111111</v>
      </c>
      <c r="M16" s="61" t="s">
        <v>738</v>
      </c>
      <c r="N16" s="60"/>
      <c r="O16" s="56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 customFormat="false" ht="22.5" hidden="false" customHeight="true" outlineLevel="0" collapsed="false">
      <c r="A17" s="57" t="n">
        <v>45786</v>
      </c>
      <c r="B17" s="1" t="n">
        <v>9</v>
      </c>
      <c r="C17" s="75" t="str">
        <f aca="false">IF(ISBLANK(A17), "--", PROPER(TEXT(A17, "dddd")))</f>
        <v>Friday</v>
      </c>
      <c r="D17" s="56" t="s">
        <v>134</v>
      </c>
      <c r="E17" s="56" t="s">
        <v>17</v>
      </c>
      <c r="F17" s="60" t="s">
        <v>739</v>
      </c>
      <c r="G17" s="56" t="s">
        <v>19</v>
      </c>
      <c r="H17" s="56" t="s">
        <v>70</v>
      </c>
      <c r="I17" s="56" t="s">
        <v>21</v>
      </c>
      <c r="J17" s="57" t="n">
        <v>45790</v>
      </c>
      <c r="K17" s="58" t="n">
        <v>1</v>
      </c>
      <c r="L17" s="59" t="n">
        <v>0.0444444444444444</v>
      </c>
      <c r="M17" s="31" t="s">
        <v>740</v>
      </c>
      <c r="N17" s="60"/>
      <c r="O17" s="56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 customFormat="false" ht="22.5" hidden="false" customHeight="true" outlineLevel="0" collapsed="false">
      <c r="A18" s="57" t="n">
        <v>45786</v>
      </c>
      <c r="B18" s="1" t="n">
        <v>9</v>
      </c>
      <c r="C18" s="75" t="str">
        <f aca="false">IF(ISBLANK(A18), "--", PROPER(TEXT(A18, "dddd")))</f>
        <v>Friday</v>
      </c>
      <c r="D18" s="56" t="s">
        <v>134</v>
      </c>
      <c r="E18" s="56" t="s">
        <v>17</v>
      </c>
      <c r="F18" s="60" t="s">
        <v>741</v>
      </c>
      <c r="G18" s="56" t="s">
        <v>19</v>
      </c>
      <c r="H18" s="56" t="s">
        <v>449</v>
      </c>
      <c r="I18" s="56" t="s">
        <v>21</v>
      </c>
      <c r="J18" s="57" t="n">
        <v>45793</v>
      </c>
      <c r="K18" s="58" t="n">
        <v>1</v>
      </c>
      <c r="L18" s="59" t="n">
        <v>0.0215277777777778</v>
      </c>
      <c r="M18" s="31" t="s">
        <v>742</v>
      </c>
      <c r="N18" s="60"/>
      <c r="O18" s="56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 customFormat="false" ht="22.5" hidden="false" customHeight="true" outlineLevel="0" collapsed="false">
      <c r="A19" s="57" t="n">
        <v>45786</v>
      </c>
      <c r="B19" s="1" t="n">
        <v>9</v>
      </c>
      <c r="C19" s="75" t="str">
        <f aca="false">IF(ISBLANK(A19), "--", PROPER(TEXT(A19, "dddd")))</f>
        <v>Friday</v>
      </c>
      <c r="D19" s="56" t="s">
        <v>134</v>
      </c>
      <c r="E19" s="56" t="s">
        <v>17</v>
      </c>
      <c r="F19" s="60" t="s">
        <v>743</v>
      </c>
      <c r="G19" s="56" t="s">
        <v>19</v>
      </c>
      <c r="H19" s="56" t="s">
        <v>449</v>
      </c>
      <c r="I19" s="56" t="s">
        <v>21</v>
      </c>
      <c r="J19" s="57" t="n">
        <v>45793</v>
      </c>
      <c r="K19" s="58" t="n">
        <v>3</v>
      </c>
      <c r="L19" s="59" t="n">
        <v>0.0465277777777778</v>
      </c>
      <c r="M19" s="31" t="s">
        <v>744</v>
      </c>
      <c r="N19" s="60"/>
      <c r="O19" s="56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 customFormat="false" ht="22.5" hidden="false" customHeight="true" outlineLevel="0" collapsed="false">
      <c r="A20" s="57" t="n">
        <v>45786</v>
      </c>
      <c r="B20" s="1" t="n">
        <v>9</v>
      </c>
      <c r="C20" s="75" t="str">
        <f aca="false">IF(ISBLANK(A20), "--", PROPER(TEXT(A20, "dddd")))</f>
        <v>Friday</v>
      </c>
      <c r="D20" s="56" t="s">
        <v>145</v>
      </c>
      <c r="E20" s="56" t="s">
        <v>139</v>
      </c>
      <c r="F20" s="60" t="s">
        <v>745</v>
      </c>
      <c r="G20" s="56" t="s">
        <v>48</v>
      </c>
      <c r="H20" s="56" t="s">
        <v>141</v>
      </c>
      <c r="I20" s="56" t="s">
        <v>21</v>
      </c>
      <c r="J20" s="57" t="n">
        <v>45786</v>
      </c>
      <c r="K20" s="58" t="n">
        <v>0.5</v>
      </c>
      <c r="L20" s="59" t="n">
        <v>0.0104166666666667</v>
      </c>
      <c r="M20" s="31" t="s">
        <v>746</v>
      </c>
      <c r="N20" s="60"/>
      <c r="O20" s="56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 customFormat="false" ht="22.5" hidden="false" customHeight="true" outlineLevel="0" collapsed="false">
      <c r="A21" s="57" t="n">
        <v>45786</v>
      </c>
      <c r="B21" s="1" t="n">
        <v>9</v>
      </c>
      <c r="C21" s="75" t="str">
        <f aca="false">IF(ISBLANK(A21), "--", PROPER(TEXT(A21, "dddd")))</f>
        <v>Friday</v>
      </c>
      <c r="D21" s="56" t="s">
        <v>16</v>
      </c>
      <c r="E21" s="56" t="s">
        <v>17</v>
      </c>
      <c r="F21" s="60" t="s">
        <v>747</v>
      </c>
      <c r="G21" s="56" t="s">
        <v>19</v>
      </c>
      <c r="H21" s="56" t="s">
        <v>449</v>
      </c>
      <c r="I21" s="56" t="s">
        <v>21</v>
      </c>
      <c r="J21" s="57" t="n">
        <v>45786</v>
      </c>
      <c r="K21" s="58" t="n">
        <v>1</v>
      </c>
      <c r="L21" s="59" t="n">
        <v>0.0208333333333333</v>
      </c>
      <c r="M21" s="61" t="s">
        <v>748</v>
      </c>
      <c r="N21" s="60"/>
      <c r="O21" s="56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 customFormat="false" ht="22.5" hidden="false" customHeight="true" outlineLevel="0" collapsed="false">
      <c r="A22" s="77" t="n">
        <v>45789</v>
      </c>
      <c r="B22" s="1" t="n">
        <v>10</v>
      </c>
      <c r="C22" s="75" t="str">
        <f aca="false">IF(ISBLANK(A22), "--", PROPER(TEXT(A22, "dddd")))</f>
        <v>Monday</v>
      </c>
      <c r="D22" s="56" t="s">
        <v>16</v>
      </c>
      <c r="E22" s="56" t="s">
        <v>17</v>
      </c>
      <c r="F22" s="60" t="s">
        <v>749</v>
      </c>
      <c r="G22" s="56" t="s">
        <v>77</v>
      </c>
      <c r="H22" s="56" t="s">
        <v>449</v>
      </c>
      <c r="I22" s="56" t="s">
        <v>21</v>
      </c>
      <c r="J22" s="57" t="n">
        <v>45789</v>
      </c>
      <c r="K22" s="58" t="n">
        <v>0</v>
      </c>
      <c r="L22" s="59" t="n">
        <v>0</v>
      </c>
      <c r="M22" s="31" t="s">
        <v>750</v>
      </c>
      <c r="N22" s="60"/>
      <c r="O22" s="56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customFormat="false" ht="22.5" hidden="false" customHeight="true" outlineLevel="0" collapsed="false">
      <c r="A23" s="63" t="n">
        <v>45789</v>
      </c>
      <c r="B23" s="1" t="n">
        <v>10</v>
      </c>
      <c r="C23" s="75" t="str">
        <f aca="false">IF(ISBLANK(A23), "--", PROPER(TEXT(A23, "dddd")))</f>
        <v>Monday</v>
      </c>
      <c r="D23" s="56" t="s">
        <v>145</v>
      </c>
      <c r="E23" s="56" t="s">
        <v>17</v>
      </c>
      <c r="F23" s="60" t="s">
        <v>751</v>
      </c>
      <c r="G23" s="56" t="s">
        <v>48</v>
      </c>
      <c r="H23" s="56" t="s">
        <v>141</v>
      </c>
      <c r="I23" s="56" t="s">
        <v>21</v>
      </c>
      <c r="J23" s="57" t="n">
        <v>45789</v>
      </c>
      <c r="K23" s="58" t="n">
        <v>0.5</v>
      </c>
      <c r="L23" s="59" t="n">
        <v>0.00972222222222222</v>
      </c>
      <c r="M23" s="31" t="s">
        <v>752</v>
      </c>
      <c r="N23" s="60"/>
      <c r="O23" s="56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 customFormat="false" ht="22.5" hidden="false" customHeight="true" outlineLevel="0" collapsed="false">
      <c r="A24" s="63" t="n">
        <v>45789</v>
      </c>
      <c r="B24" s="1" t="n">
        <v>10</v>
      </c>
      <c r="C24" s="75" t="str">
        <f aca="false">IF(ISBLANK(A24), "--", PROPER(TEXT(A24, "dddd")))</f>
        <v>Monday</v>
      </c>
      <c r="D24" s="56" t="s">
        <v>145</v>
      </c>
      <c r="E24" s="56" t="s">
        <v>17</v>
      </c>
      <c r="F24" s="60" t="s">
        <v>753</v>
      </c>
      <c r="G24" s="56" t="s">
        <v>48</v>
      </c>
      <c r="H24" s="56" t="s">
        <v>141</v>
      </c>
      <c r="I24" s="56" t="s">
        <v>21</v>
      </c>
      <c r="J24" s="57" t="n">
        <v>45789</v>
      </c>
      <c r="K24" s="58" t="n">
        <v>1</v>
      </c>
      <c r="L24" s="59" t="n">
        <v>0.0277777777777778</v>
      </c>
      <c r="M24" s="31" t="s">
        <v>754</v>
      </c>
      <c r="N24" s="60"/>
      <c r="O24" s="56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</row>
    <row r="25" customFormat="false" ht="22.5" hidden="false" customHeight="true" outlineLevel="0" collapsed="false">
      <c r="A25" s="63" t="n">
        <v>45789</v>
      </c>
      <c r="B25" s="1" t="n">
        <v>10</v>
      </c>
      <c r="C25" s="75" t="str">
        <f aca="false">IF(ISBLANK(A25), "--", PROPER(TEXT(A25, "dddd")))</f>
        <v>Monday</v>
      </c>
      <c r="D25" s="56" t="s">
        <v>145</v>
      </c>
      <c r="E25" s="56" t="s">
        <v>139</v>
      </c>
      <c r="F25" s="60" t="s">
        <v>755</v>
      </c>
      <c r="G25" s="56" t="s">
        <v>19</v>
      </c>
      <c r="H25" s="56" t="s">
        <v>141</v>
      </c>
      <c r="I25" s="56" t="s">
        <v>21</v>
      </c>
      <c r="J25" s="57" t="n">
        <v>45789</v>
      </c>
      <c r="K25" s="58" t="n">
        <v>1</v>
      </c>
      <c r="L25" s="59" t="n">
        <v>0.0208333333333333</v>
      </c>
      <c r="M25" s="31" t="s">
        <v>756</v>
      </c>
      <c r="N25" s="60"/>
      <c r="O25" s="56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 customFormat="false" ht="22.5" hidden="false" customHeight="true" outlineLevel="0" collapsed="false">
      <c r="A26" s="57" t="n">
        <v>45790</v>
      </c>
      <c r="B26" s="1" t="n">
        <v>10</v>
      </c>
      <c r="C26" s="75" t="str">
        <f aca="false">IF(ISBLANK(A26), "--", PROPER(TEXT(A26, "dddd")))</f>
        <v>Tuesday</v>
      </c>
      <c r="D26" s="56" t="s">
        <v>130</v>
      </c>
      <c r="E26" s="56" t="s">
        <v>17</v>
      </c>
      <c r="F26" s="60" t="s">
        <v>757</v>
      </c>
      <c r="G26" s="56" t="s">
        <v>19</v>
      </c>
      <c r="H26" s="56" t="s">
        <v>449</v>
      </c>
      <c r="I26" s="56" t="s">
        <v>21</v>
      </c>
      <c r="J26" s="57" t="n">
        <v>45791</v>
      </c>
      <c r="K26" s="58" t="n">
        <v>2</v>
      </c>
      <c r="L26" s="59" t="n">
        <v>0.101388888888889</v>
      </c>
      <c r="M26" s="61" t="s">
        <v>758</v>
      </c>
      <c r="N26" s="60"/>
      <c r="O26" s="56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 customFormat="false" ht="22.5" hidden="false" customHeight="true" outlineLevel="0" collapsed="false">
      <c r="A27" s="57" t="n">
        <v>45790</v>
      </c>
      <c r="B27" s="1" t="n">
        <v>10</v>
      </c>
      <c r="C27" s="75" t="str">
        <f aca="false">IF(ISBLANK(A27), "--", PROPER(TEXT(A27, "dddd")))</f>
        <v>Tuesday</v>
      </c>
      <c r="D27" s="56" t="s">
        <v>145</v>
      </c>
      <c r="E27" s="56" t="s">
        <v>139</v>
      </c>
      <c r="F27" s="60" t="s">
        <v>759</v>
      </c>
      <c r="G27" s="56" t="s">
        <v>77</v>
      </c>
      <c r="H27" s="56" t="s">
        <v>141</v>
      </c>
      <c r="I27" s="56" t="s">
        <v>21</v>
      </c>
      <c r="J27" s="57" t="n">
        <v>45790</v>
      </c>
      <c r="K27" s="58" t="n">
        <v>0.5</v>
      </c>
      <c r="L27" s="59" t="n">
        <v>0.0270833333333333</v>
      </c>
      <c r="M27" s="61" t="s">
        <v>760</v>
      </c>
      <c r="N27" s="60"/>
      <c r="O27" s="56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customFormat="false" ht="22.5" hidden="false" customHeight="true" outlineLevel="0" collapsed="false">
      <c r="A28" s="57" t="n">
        <v>45790</v>
      </c>
      <c r="B28" s="1" t="n">
        <v>10</v>
      </c>
      <c r="C28" s="75" t="str">
        <f aca="false">IF(ISBLANK(A28), "--", PROPER(TEXT(A28, "dddd")))</f>
        <v>Tuesday</v>
      </c>
      <c r="D28" s="56" t="s">
        <v>130</v>
      </c>
      <c r="E28" s="56" t="s">
        <v>17</v>
      </c>
      <c r="F28" s="60" t="s">
        <v>761</v>
      </c>
      <c r="G28" s="56" t="s">
        <v>19</v>
      </c>
      <c r="H28" s="56" t="s">
        <v>70</v>
      </c>
      <c r="I28" s="56" t="s">
        <v>21</v>
      </c>
      <c r="J28" s="57" t="n">
        <v>45790</v>
      </c>
      <c r="K28" s="58" t="n">
        <v>2</v>
      </c>
      <c r="L28" s="59" t="n">
        <v>0.0875</v>
      </c>
      <c r="M28" s="61" t="s">
        <v>762</v>
      </c>
      <c r="N28" s="60"/>
      <c r="O28" s="56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customFormat="false" ht="22.5" hidden="false" customHeight="true" outlineLevel="0" collapsed="false">
      <c r="A29" s="57" t="n">
        <v>45790</v>
      </c>
      <c r="B29" s="1" t="n">
        <v>10</v>
      </c>
      <c r="C29" s="75" t="str">
        <f aca="false">IF(ISBLANK(A29), "--", PROPER(TEXT(A29, "dddd")))</f>
        <v>Tuesday</v>
      </c>
      <c r="D29" s="56" t="s">
        <v>145</v>
      </c>
      <c r="E29" s="56" t="s">
        <v>139</v>
      </c>
      <c r="F29" s="60" t="s">
        <v>763</v>
      </c>
      <c r="G29" s="56" t="s">
        <v>48</v>
      </c>
      <c r="H29" s="56" t="s">
        <v>141</v>
      </c>
      <c r="I29" s="56" t="s">
        <v>21</v>
      </c>
      <c r="J29" s="57" t="n">
        <v>45790</v>
      </c>
      <c r="K29" s="58" t="n">
        <v>0.5</v>
      </c>
      <c r="L29" s="59" t="n">
        <v>0.0319444444444444</v>
      </c>
      <c r="M29" s="61" t="s">
        <v>764</v>
      </c>
      <c r="N29" s="60"/>
      <c r="O29" s="56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 customFormat="false" ht="22.5" hidden="false" customHeight="true" outlineLevel="0" collapsed="false">
      <c r="A30" s="57" t="n">
        <v>45790</v>
      </c>
      <c r="B30" s="1" t="n">
        <v>10</v>
      </c>
      <c r="C30" s="75" t="str">
        <f aca="false">IF(ISBLANK(A30), "--", PROPER(TEXT(A30, "dddd")))</f>
        <v>Tuesday</v>
      </c>
      <c r="D30" s="56" t="s">
        <v>16</v>
      </c>
      <c r="E30" s="56" t="s">
        <v>17</v>
      </c>
      <c r="F30" s="60" t="s">
        <v>757</v>
      </c>
      <c r="G30" s="56" t="s">
        <v>19</v>
      </c>
      <c r="H30" s="56" t="s">
        <v>449</v>
      </c>
      <c r="I30" s="56" t="s">
        <v>21</v>
      </c>
      <c r="J30" s="57" t="n">
        <v>45790</v>
      </c>
      <c r="K30" s="58" t="n">
        <v>2</v>
      </c>
      <c r="L30" s="59" t="n">
        <v>0.101388888888889</v>
      </c>
      <c r="M30" s="82" t="s">
        <v>758</v>
      </c>
      <c r="N30" s="60"/>
      <c r="O30" s="56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 customFormat="false" ht="22.5" hidden="false" customHeight="true" outlineLevel="0" collapsed="false">
      <c r="A31" s="57" t="n">
        <v>45791</v>
      </c>
      <c r="B31" s="1" t="n">
        <v>10</v>
      </c>
      <c r="C31" s="75" t="str">
        <f aca="false">IF(ISBLANK(A31), "--", PROPER(TEXT(A31, "dddd")))</f>
        <v>Wednesday</v>
      </c>
      <c r="D31" s="56" t="s">
        <v>16</v>
      </c>
      <c r="E31" s="56" t="s">
        <v>17</v>
      </c>
      <c r="F31" s="60" t="s">
        <v>765</v>
      </c>
      <c r="G31" s="56" t="s">
        <v>19</v>
      </c>
      <c r="H31" s="56" t="s">
        <v>449</v>
      </c>
      <c r="I31" s="56" t="s">
        <v>21</v>
      </c>
      <c r="J31" s="57" t="n">
        <v>45791</v>
      </c>
      <c r="K31" s="58" t="n">
        <v>1</v>
      </c>
      <c r="L31" s="59" t="n">
        <v>0.0291666666666667</v>
      </c>
      <c r="M31" s="31" t="s">
        <v>766</v>
      </c>
      <c r="N31" s="60"/>
      <c r="O31" s="56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</row>
    <row r="32" customFormat="false" ht="22.5" hidden="false" customHeight="true" outlineLevel="0" collapsed="false">
      <c r="A32" s="57" t="n">
        <v>45791</v>
      </c>
      <c r="B32" s="1" t="n">
        <v>10</v>
      </c>
      <c r="C32" s="75" t="str">
        <f aca="false">IF(ISBLANK(A32), "--", PROPER(TEXT(A32, "dddd")))</f>
        <v>Wednesday</v>
      </c>
      <c r="D32" s="56" t="s">
        <v>145</v>
      </c>
      <c r="E32" s="56" t="s">
        <v>139</v>
      </c>
      <c r="F32" s="60" t="s">
        <v>767</v>
      </c>
      <c r="G32" s="56" t="s">
        <v>48</v>
      </c>
      <c r="H32" s="56" t="s">
        <v>141</v>
      </c>
      <c r="I32" s="56" t="s">
        <v>21</v>
      </c>
      <c r="J32" s="57" t="n">
        <v>45791</v>
      </c>
      <c r="K32" s="58" t="n">
        <v>1</v>
      </c>
      <c r="L32" s="59" t="n">
        <v>0.0270833333333333</v>
      </c>
      <c r="M32" s="31" t="s">
        <v>768</v>
      </c>
      <c r="N32" s="60"/>
      <c r="O32" s="56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  <row r="33" customFormat="false" ht="22.5" hidden="false" customHeight="true" outlineLevel="0" collapsed="false">
      <c r="A33" s="57" t="n">
        <v>45791</v>
      </c>
      <c r="B33" s="1" t="n">
        <v>10</v>
      </c>
      <c r="C33" s="75" t="str">
        <f aca="false">IF(ISBLANK(A33), "--", PROPER(TEXT(A33, "dddd")))</f>
        <v>Wednesday</v>
      </c>
      <c r="D33" s="56" t="s">
        <v>145</v>
      </c>
      <c r="E33" s="56" t="s">
        <v>139</v>
      </c>
      <c r="F33" s="60" t="s">
        <v>769</v>
      </c>
      <c r="G33" s="56" t="s">
        <v>48</v>
      </c>
      <c r="H33" s="56" t="s">
        <v>141</v>
      </c>
      <c r="I33" s="56" t="s">
        <v>21</v>
      </c>
      <c r="J33" s="57" t="n">
        <v>45791</v>
      </c>
      <c r="K33" s="58" t="n">
        <v>1</v>
      </c>
      <c r="L33" s="59" t="n">
        <v>0.0138888888888889</v>
      </c>
      <c r="M33" s="31" t="s">
        <v>770</v>
      </c>
      <c r="N33" s="60"/>
      <c r="O33" s="56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</row>
    <row r="34" customFormat="false" ht="22.5" hidden="false" customHeight="true" outlineLevel="0" collapsed="false">
      <c r="A34" s="57" t="n">
        <v>45792</v>
      </c>
      <c r="B34" s="1" t="n">
        <v>10</v>
      </c>
      <c r="C34" s="75" t="str">
        <f aca="false">IF(ISBLANK(A34), "--", PROPER(TEXT(A34, "dddd")))</f>
        <v>Thursday</v>
      </c>
      <c r="D34" s="56" t="s">
        <v>130</v>
      </c>
      <c r="E34" s="56" t="s">
        <v>17</v>
      </c>
      <c r="F34" s="60" t="s">
        <v>771</v>
      </c>
      <c r="G34" s="56" t="s">
        <v>19</v>
      </c>
      <c r="H34" s="56" t="s">
        <v>70</v>
      </c>
      <c r="I34" s="56" t="s">
        <v>21</v>
      </c>
      <c r="J34" s="57" t="n">
        <v>45793</v>
      </c>
      <c r="K34" s="58" t="n">
        <v>1</v>
      </c>
      <c r="L34" s="59" t="n">
        <v>0.150694444444444</v>
      </c>
      <c r="M34" s="31" t="s">
        <v>772</v>
      </c>
      <c r="N34" s="60"/>
      <c r="O34" s="56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  <row r="35" customFormat="false" ht="22.5" hidden="false" customHeight="true" outlineLevel="0" collapsed="false">
      <c r="A35" s="57" t="n">
        <v>45792</v>
      </c>
      <c r="B35" s="1" t="n">
        <v>10</v>
      </c>
      <c r="C35" s="75" t="str">
        <f aca="false">IF(ISBLANK(A35), "--", PROPER(TEXT(A35, "dddd")))</f>
        <v>Thursday</v>
      </c>
      <c r="D35" s="56" t="s">
        <v>145</v>
      </c>
      <c r="E35" s="56" t="s">
        <v>139</v>
      </c>
      <c r="F35" s="60" t="s">
        <v>773</v>
      </c>
      <c r="G35" s="56" t="s">
        <v>48</v>
      </c>
      <c r="H35" s="56" t="s">
        <v>141</v>
      </c>
      <c r="I35" s="56" t="s">
        <v>21</v>
      </c>
      <c r="J35" s="57" t="n">
        <v>45792</v>
      </c>
      <c r="K35" s="58" t="n">
        <v>0.5</v>
      </c>
      <c r="L35" s="59" t="n">
        <v>0.00486111111111111</v>
      </c>
      <c r="M35" s="31" t="s">
        <v>774</v>
      </c>
      <c r="N35" s="60"/>
      <c r="O35" s="56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customFormat="false" ht="22.5" hidden="false" customHeight="true" outlineLevel="0" collapsed="false">
      <c r="A36" s="57" t="n">
        <v>45792</v>
      </c>
      <c r="B36" s="1" t="n">
        <v>10</v>
      </c>
      <c r="C36" s="75" t="str">
        <f aca="false">IF(ISBLANK(A36), "--", PROPER(TEXT(A36, "dddd")))</f>
        <v>Thursday</v>
      </c>
      <c r="D36" s="56" t="s">
        <v>16</v>
      </c>
      <c r="E36" s="56" t="s">
        <v>17</v>
      </c>
      <c r="F36" s="60" t="s">
        <v>775</v>
      </c>
      <c r="G36" s="56" t="s">
        <v>19</v>
      </c>
      <c r="H36" s="56" t="s">
        <v>449</v>
      </c>
      <c r="I36" s="56" t="s">
        <v>21</v>
      </c>
      <c r="J36" s="57" t="n">
        <v>45793</v>
      </c>
      <c r="K36" s="58" t="n">
        <v>2</v>
      </c>
      <c r="L36" s="59" t="n">
        <v>0.04375</v>
      </c>
      <c r="M36" s="31" t="s">
        <v>776</v>
      </c>
      <c r="N36" s="60"/>
      <c r="O36" s="56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customFormat="false" ht="22.5" hidden="false" customHeight="true" outlineLevel="0" collapsed="false">
      <c r="A37" s="57" t="n">
        <v>45793</v>
      </c>
      <c r="B37" s="1" t="n">
        <v>10</v>
      </c>
      <c r="C37" s="75" t="str">
        <f aca="false">IF(ISBLANK(A37), "--", PROPER(TEXT(A37, "dddd")))</f>
        <v>Friday</v>
      </c>
      <c r="D37" s="56" t="s">
        <v>134</v>
      </c>
      <c r="E37" s="56" t="s">
        <v>17</v>
      </c>
      <c r="F37" s="60" t="s">
        <v>777</v>
      </c>
      <c r="G37" s="56" t="s">
        <v>19</v>
      </c>
      <c r="H37" s="56" t="s">
        <v>449</v>
      </c>
      <c r="I37" s="56" t="s">
        <v>21</v>
      </c>
      <c r="J37" s="57" t="n">
        <v>45798</v>
      </c>
      <c r="K37" s="58" t="n">
        <v>1</v>
      </c>
      <c r="L37" s="59" t="n">
        <v>0.128472222222222</v>
      </c>
      <c r="M37" s="61" t="s">
        <v>778</v>
      </c>
      <c r="N37" s="60"/>
      <c r="O37" s="56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customFormat="false" ht="22.5" hidden="false" customHeight="true" outlineLevel="0" collapsed="false">
      <c r="A38" s="63" t="n">
        <v>45796</v>
      </c>
      <c r="B38" s="1" t="n">
        <v>10</v>
      </c>
      <c r="C38" s="75" t="str">
        <f aca="false">IF(ISBLANK(A38), "--", PROPER(TEXT(A38, "dddd")))</f>
        <v>Monday</v>
      </c>
      <c r="D38" s="56" t="s">
        <v>46</v>
      </c>
      <c r="E38" s="56" t="s">
        <v>17</v>
      </c>
      <c r="F38" s="60" t="s">
        <v>779</v>
      </c>
      <c r="G38" s="56" t="s">
        <v>19</v>
      </c>
      <c r="H38" s="56" t="s">
        <v>20</v>
      </c>
      <c r="I38" s="56" t="s">
        <v>21</v>
      </c>
      <c r="J38" s="57" t="n">
        <v>45797</v>
      </c>
      <c r="K38" s="58" t="n">
        <v>1</v>
      </c>
      <c r="L38" s="59" t="n">
        <v>0.0680555555555556</v>
      </c>
      <c r="M38" s="31" t="s">
        <v>780</v>
      </c>
      <c r="N38" s="60"/>
      <c r="O38" s="56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 customFormat="false" ht="22.5" hidden="false" customHeight="true" outlineLevel="0" collapsed="false">
      <c r="A39" s="63" t="n">
        <v>45796</v>
      </c>
      <c r="B39" s="1" t="n">
        <v>10</v>
      </c>
      <c r="C39" s="75" t="str">
        <f aca="false">IF(ISBLANK(A39), "--", PROPER(TEXT(A39, "dddd")))</f>
        <v>Monday</v>
      </c>
      <c r="D39" s="56" t="s">
        <v>167</v>
      </c>
      <c r="E39" s="56" t="s">
        <v>139</v>
      </c>
      <c r="F39" s="60" t="s">
        <v>781</v>
      </c>
      <c r="G39" s="56" t="s">
        <v>19</v>
      </c>
      <c r="H39" s="56" t="s">
        <v>141</v>
      </c>
      <c r="I39" s="56" t="s">
        <v>21</v>
      </c>
      <c r="J39" s="63" t="n">
        <v>45797</v>
      </c>
      <c r="K39" s="58" t="n">
        <v>2</v>
      </c>
      <c r="L39" s="59" t="n">
        <v>0.122222222222222</v>
      </c>
      <c r="M39" s="31" t="s">
        <v>782</v>
      </c>
      <c r="N39" s="60"/>
      <c r="O39" s="56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 customFormat="false" ht="22.5" hidden="false" customHeight="true" outlineLevel="0" collapsed="false">
      <c r="A40" s="63" t="n">
        <v>45796</v>
      </c>
      <c r="B40" s="1" t="n">
        <v>10</v>
      </c>
      <c r="C40" s="75" t="str">
        <f aca="false">IF(ISBLANK(A40), "--", PROPER(TEXT(A40, "dddd")))</f>
        <v>Monday</v>
      </c>
      <c r="D40" s="56" t="s">
        <v>145</v>
      </c>
      <c r="E40" s="56" t="s">
        <v>139</v>
      </c>
      <c r="F40" s="60" t="s">
        <v>783</v>
      </c>
      <c r="G40" s="56" t="s">
        <v>19</v>
      </c>
      <c r="H40" s="56" t="s">
        <v>141</v>
      </c>
      <c r="I40" s="56" t="s">
        <v>21</v>
      </c>
      <c r="J40" s="63" t="n">
        <v>45797</v>
      </c>
      <c r="K40" s="58" t="n">
        <v>1</v>
      </c>
      <c r="L40" s="59" t="n">
        <v>0.0451388888888889</v>
      </c>
      <c r="M40" s="61" t="s">
        <v>784</v>
      </c>
      <c r="N40" s="60"/>
      <c r="O40" s="56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 customFormat="false" ht="22.5" hidden="false" customHeight="true" outlineLevel="0" collapsed="false">
      <c r="A41" s="63" t="n">
        <v>45796</v>
      </c>
      <c r="B41" s="1" t="n">
        <v>10</v>
      </c>
      <c r="C41" s="75" t="str">
        <f aca="false">IF(ISBLANK(A41), "--", PROPER(TEXT(A41, "dddd")))</f>
        <v>Monday</v>
      </c>
      <c r="D41" s="56" t="s">
        <v>785</v>
      </c>
      <c r="E41" s="56" t="s">
        <v>139</v>
      </c>
      <c r="F41" s="60" t="s">
        <v>786</v>
      </c>
      <c r="G41" s="56" t="s">
        <v>19</v>
      </c>
      <c r="H41" s="56" t="s">
        <v>141</v>
      </c>
      <c r="I41" s="56" t="s">
        <v>21</v>
      </c>
      <c r="J41" s="57" t="n">
        <v>45798</v>
      </c>
      <c r="K41" s="58" t="n">
        <v>2</v>
      </c>
      <c r="L41" s="59" t="n">
        <v>0.103472222222222</v>
      </c>
      <c r="M41" s="31" t="s">
        <v>787</v>
      </c>
      <c r="N41" s="60"/>
      <c r="O41" s="56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</row>
    <row r="42" customFormat="false" ht="22.5" hidden="false" customHeight="true" outlineLevel="0" collapsed="false">
      <c r="A42" s="63" t="n">
        <v>45796</v>
      </c>
      <c r="B42" s="1" t="n">
        <v>10</v>
      </c>
      <c r="C42" s="75" t="str">
        <f aca="false">IF(ISBLANK(A42), "--", PROPER(TEXT(A42, "dddd")))</f>
        <v>Monday</v>
      </c>
      <c r="D42" s="56" t="s">
        <v>145</v>
      </c>
      <c r="E42" s="56" t="s">
        <v>139</v>
      </c>
      <c r="F42" s="60" t="s">
        <v>788</v>
      </c>
      <c r="G42" s="56" t="s">
        <v>19</v>
      </c>
      <c r="H42" s="56" t="s">
        <v>141</v>
      </c>
      <c r="I42" s="56" t="s">
        <v>21</v>
      </c>
      <c r="J42" s="63" t="n">
        <v>45796</v>
      </c>
      <c r="K42" s="58" t="n">
        <v>0.5</v>
      </c>
      <c r="L42" s="59" t="n">
        <v>0.00347222222222222</v>
      </c>
      <c r="M42" s="61" t="s">
        <v>789</v>
      </c>
      <c r="N42" s="60"/>
      <c r="O42" s="56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 customFormat="false" ht="22.5" hidden="false" customHeight="true" outlineLevel="0" collapsed="false">
      <c r="A43" s="63" t="n">
        <v>45796</v>
      </c>
      <c r="B43" s="1" t="n">
        <v>10</v>
      </c>
      <c r="C43" s="75" t="str">
        <f aca="false">IF(ISBLANK(A43), "--", PROPER(TEXT(A43, "dddd")))</f>
        <v>Monday</v>
      </c>
      <c r="D43" s="56" t="s">
        <v>134</v>
      </c>
      <c r="E43" s="56" t="s">
        <v>17</v>
      </c>
      <c r="F43" s="60" t="s">
        <v>790</v>
      </c>
      <c r="G43" s="56" t="s">
        <v>19</v>
      </c>
      <c r="H43" s="56" t="s">
        <v>449</v>
      </c>
      <c r="I43" s="56" t="s">
        <v>21</v>
      </c>
      <c r="J43" s="63" t="n">
        <v>45797</v>
      </c>
      <c r="K43" s="58" t="n">
        <v>2</v>
      </c>
      <c r="L43" s="59" t="n">
        <v>0.0138888888888889</v>
      </c>
      <c r="M43" s="61" t="s">
        <v>791</v>
      </c>
      <c r="N43" s="60"/>
      <c r="O43" s="56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 customFormat="false" ht="22.5" hidden="false" customHeight="true" outlineLevel="0" collapsed="false">
      <c r="A44" s="63" t="n">
        <v>45796</v>
      </c>
      <c r="B44" s="1" t="n">
        <v>10</v>
      </c>
      <c r="C44" s="75" t="str">
        <f aca="false">IF(ISBLANK(A44), "--", PROPER(TEXT(A44, "dddd")))</f>
        <v>Monday</v>
      </c>
      <c r="D44" s="56" t="s">
        <v>16</v>
      </c>
      <c r="E44" s="56" t="s">
        <v>17</v>
      </c>
      <c r="F44" s="60" t="s">
        <v>792</v>
      </c>
      <c r="G44" s="56" t="s">
        <v>19</v>
      </c>
      <c r="H44" s="56" t="s">
        <v>24</v>
      </c>
      <c r="I44" s="56" t="s">
        <v>21</v>
      </c>
      <c r="J44" s="63" t="n">
        <v>45797</v>
      </c>
      <c r="K44" s="58" t="n">
        <v>0</v>
      </c>
      <c r="L44" s="59" t="n">
        <v>0</v>
      </c>
      <c r="M44" s="61" t="s">
        <v>793</v>
      </c>
      <c r="N44" s="60"/>
      <c r="O44" s="56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customFormat="false" ht="22.5" hidden="false" customHeight="true" outlineLevel="0" collapsed="false">
      <c r="A45" s="63" t="n">
        <v>45797</v>
      </c>
      <c r="B45" s="1" t="n">
        <v>10</v>
      </c>
      <c r="C45" s="75" t="str">
        <f aca="false">IF(ISBLANK(A45), "--", PROPER(TEXT(A45, "dddd")))</f>
        <v>Tuesday</v>
      </c>
      <c r="D45" s="56" t="s">
        <v>145</v>
      </c>
      <c r="E45" s="56" t="s">
        <v>139</v>
      </c>
      <c r="F45" s="60" t="s">
        <v>794</v>
      </c>
      <c r="G45" s="56" t="s">
        <v>179</v>
      </c>
      <c r="H45" s="56" t="s">
        <v>141</v>
      </c>
      <c r="I45" s="56" t="s">
        <v>21</v>
      </c>
      <c r="J45" s="63" t="n">
        <v>45797</v>
      </c>
      <c r="K45" s="58" t="n">
        <v>0.5</v>
      </c>
      <c r="L45" s="59" t="n">
        <v>0.00347222222222222</v>
      </c>
      <c r="M45" s="61" t="s">
        <v>795</v>
      </c>
      <c r="N45" s="60"/>
      <c r="O45" s="56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customFormat="false" ht="22.5" hidden="false" customHeight="true" outlineLevel="0" collapsed="false">
      <c r="A46" s="63" t="n">
        <v>45797</v>
      </c>
      <c r="B46" s="1" t="n">
        <v>10</v>
      </c>
      <c r="C46" s="75" t="str">
        <f aca="false">IF(ISBLANK(A46), "--", PROPER(TEXT(A46, "dddd")))</f>
        <v>Tuesday</v>
      </c>
      <c r="D46" s="56" t="s">
        <v>16</v>
      </c>
      <c r="E46" s="56" t="s">
        <v>17</v>
      </c>
      <c r="F46" s="60" t="s">
        <v>796</v>
      </c>
      <c r="G46" s="56" t="s">
        <v>19</v>
      </c>
      <c r="H46" s="56" t="s">
        <v>449</v>
      </c>
      <c r="I46" s="56" t="s">
        <v>21</v>
      </c>
      <c r="J46" s="63" t="n">
        <v>45797</v>
      </c>
      <c r="K46" s="58" t="n">
        <v>1</v>
      </c>
      <c r="L46" s="59" t="n">
        <v>0.0201388888888889</v>
      </c>
      <c r="M46" s="31" t="s">
        <v>797</v>
      </c>
      <c r="N46" s="60"/>
      <c r="O46" s="56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customFormat="false" ht="22.5" hidden="false" customHeight="true" outlineLevel="0" collapsed="false">
      <c r="A47" s="63" t="n">
        <v>45798</v>
      </c>
      <c r="B47" s="1" t="n">
        <v>10</v>
      </c>
      <c r="C47" s="75" t="str">
        <f aca="false">IF(ISBLANK(A47), "--", PROPER(TEXT(A47, "dddd")))</f>
        <v>Wednesday</v>
      </c>
      <c r="D47" s="56" t="s">
        <v>16</v>
      </c>
      <c r="E47" s="56" t="s">
        <v>17</v>
      </c>
      <c r="F47" s="60" t="s">
        <v>798</v>
      </c>
      <c r="G47" s="56" t="s">
        <v>19</v>
      </c>
      <c r="H47" s="56" t="s">
        <v>449</v>
      </c>
      <c r="I47" s="56" t="s">
        <v>21</v>
      </c>
      <c r="J47" s="63" t="n">
        <v>45798</v>
      </c>
      <c r="K47" s="58" t="n">
        <v>0.5</v>
      </c>
      <c r="L47" s="59" t="n">
        <v>0.0111111111111111</v>
      </c>
      <c r="M47" s="31" t="s">
        <v>799</v>
      </c>
      <c r="N47" s="60"/>
      <c r="O47" s="56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 customFormat="false" ht="22.5" hidden="false" customHeight="true" outlineLevel="0" collapsed="false">
      <c r="A48" s="63" t="n">
        <v>45798</v>
      </c>
      <c r="B48" s="1" t="n">
        <v>10</v>
      </c>
      <c r="C48" s="75" t="str">
        <f aca="false">IF(ISBLANK(A48), "--", PROPER(TEXT(A48, "dddd")))</f>
        <v>Wednesday</v>
      </c>
      <c r="D48" s="56" t="s">
        <v>16</v>
      </c>
      <c r="E48" s="56" t="s">
        <v>17</v>
      </c>
      <c r="F48" s="60" t="s">
        <v>800</v>
      </c>
      <c r="G48" s="56" t="s">
        <v>19</v>
      </c>
      <c r="H48" s="56" t="s">
        <v>70</v>
      </c>
      <c r="I48" s="56" t="s">
        <v>21</v>
      </c>
      <c r="J48" s="57" t="n">
        <v>45804</v>
      </c>
      <c r="K48" s="58" t="n">
        <v>2</v>
      </c>
      <c r="L48" s="59" t="n">
        <v>0.0930555555555556</v>
      </c>
      <c r="M48" s="31" t="s">
        <v>801</v>
      </c>
      <c r="N48" s="60"/>
      <c r="O48" s="56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 customFormat="false" ht="22.5" hidden="false" customHeight="true" outlineLevel="0" collapsed="false">
      <c r="A49" s="63" t="n">
        <v>45799</v>
      </c>
      <c r="B49" s="1" t="n">
        <v>10</v>
      </c>
      <c r="C49" s="75" t="str">
        <f aca="false">IF(ISBLANK(A49), "--", PROPER(TEXT(A49, "dddd")))</f>
        <v>Thursday</v>
      </c>
      <c r="D49" s="56" t="s">
        <v>16</v>
      </c>
      <c r="E49" s="56" t="s">
        <v>17</v>
      </c>
      <c r="F49" s="60" t="s">
        <v>802</v>
      </c>
      <c r="G49" s="56" t="s">
        <v>19</v>
      </c>
      <c r="H49" s="56" t="s">
        <v>449</v>
      </c>
      <c r="I49" s="56" t="s">
        <v>21</v>
      </c>
      <c r="J49" s="57" t="n">
        <v>45799</v>
      </c>
      <c r="K49" s="58" t="n">
        <v>0.5</v>
      </c>
      <c r="L49" s="59" t="n">
        <v>0.0194444444444444</v>
      </c>
      <c r="M49" s="61" t="s">
        <v>803</v>
      </c>
      <c r="N49" s="60"/>
      <c r="O49" s="56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 customFormat="false" ht="22.5" hidden="false" customHeight="true" outlineLevel="0" collapsed="false">
      <c r="A50" s="63" t="n">
        <v>45799</v>
      </c>
      <c r="B50" s="1" t="n">
        <v>10</v>
      </c>
      <c r="C50" s="75" t="str">
        <f aca="false">IF(ISBLANK(A50), "--", PROPER(TEXT(A50, "dddd")))</f>
        <v>Thursday</v>
      </c>
      <c r="D50" s="56" t="s">
        <v>145</v>
      </c>
      <c r="E50" s="56" t="s">
        <v>139</v>
      </c>
      <c r="F50" s="60" t="s">
        <v>804</v>
      </c>
      <c r="G50" s="56" t="s">
        <v>19</v>
      </c>
      <c r="H50" s="56" t="s">
        <v>141</v>
      </c>
      <c r="I50" s="56" t="s">
        <v>21</v>
      </c>
      <c r="J50" s="63" t="n">
        <v>45799</v>
      </c>
      <c r="K50" s="58" t="n">
        <v>1</v>
      </c>
      <c r="L50" s="59" t="n">
        <v>0.147916666666667</v>
      </c>
      <c r="M50" s="61" t="s">
        <v>805</v>
      </c>
      <c r="N50" s="60"/>
      <c r="O50" s="56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 customFormat="false" ht="22.5" hidden="false" customHeight="true" outlineLevel="0" collapsed="false">
      <c r="A51" s="63" t="n">
        <v>45800</v>
      </c>
      <c r="B51" s="1" t="n">
        <v>10</v>
      </c>
      <c r="C51" s="75" t="str">
        <f aca="false">IF(ISBLANK(A51), "--", PROPER(TEXT(A51, "dddd")))</f>
        <v>Friday</v>
      </c>
      <c r="D51" s="56" t="s">
        <v>16</v>
      </c>
      <c r="E51" s="56" t="s">
        <v>17</v>
      </c>
      <c r="F51" s="60" t="s">
        <v>806</v>
      </c>
      <c r="G51" s="56" t="s">
        <v>19</v>
      </c>
      <c r="H51" s="56" t="s">
        <v>449</v>
      </c>
      <c r="I51" s="56" t="s">
        <v>21</v>
      </c>
      <c r="J51" s="63" t="n">
        <v>45803</v>
      </c>
      <c r="K51" s="58" t="n">
        <v>2</v>
      </c>
      <c r="L51" s="59" t="n">
        <v>0.227083333333333</v>
      </c>
      <c r="M51" s="31" t="s">
        <v>807</v>
      </c>
      <c r="N51" s="60"/>
      <c r="O51" s="56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</row>
    <row r="52" customFormat="false" ht="22.5" hidden="false" customHeight="true" outlineLevel="0" collapsed="false">
      <c r="A52" s="63" t="n">
        <v>45800</v>
      </c>
      <c r="B52" s="1" t="n">
        <v>10</v>
      </c>
      <c r="C52" s="75" t="str">
        <f aca="false">IF(ISBLANK(A52), "--", PROPER(TEXT(A52, "dddd")))</f>
        <v>Friday</v>
      </c>
      <c r="D52" s="56" t="s">
        <v>145</v>
      </c>
      <c r="E52" s="56" t="s">
        <v>139</v>
      </c>
      <c r="F52" s="60" t="s">
        <v>808</v>
      </c>
      <c r="G52" s="56" t="s">
        <v>19</v>
      </c>
      <c r="H52" s="56" t="s">
        <v>141</v>
      </c>
      <c r="I52" s="56" t="s">
        <v>21</v>
      </c>
      <c r="J52" s="63" t="n">
        <v>45800</v>
      </c>
      <c r="K52" s="58" t="n">
        <v>0.5</v>
      </c>
      <c r="L52" s="59" t="n">
        <v>0.00486111111111111</v>
      </c>
      <c r="M52" s="31" t="s">
        <v>809</v>
      </c>
      <c r="N52" s="60"/>
      <c r="O52" s="56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customFormat="false" ht="22.5" hidden="false" customHeight="true" outlineLevel="0" collapsed="false">
      <c r="A53" s="77" t="n">
        <v>45803</v>
      </c>
      <c r="B53" s="1" t="n">
        <v>11</v>
      </c>
      <c r="C53" s="75" t="str">
        <f aca="false">IF(ISBLANK(A53), "--", PROPER(TEXT(A53, "dddd")))</f>
        <v>Monday</v>
      </c>
      <c r="D53" s="56" t="s">
        <v>16</v>
      </c>
      <c r="E53" s="56" t="s">
        <v>17</v>
      </c>
      <c r="F53" s="60" t="s">
        <v>810</v>
      </c>
      <c r="G53" s="56" t="s">
        <v>19</v>
      </c>
      <c r="H53" s="56" t="s">
        <v>449</v>
      </c>
      <c r="I53" s="56" t="s">
        <v>21</v>
      </c>
      <c r="J53" s="57" t="n">
        <v>45803</v>
      </c>
      <c r="K53" s="58" t="n">
        <v>1</v>
      </c>
      <c r="L53" s="59" t="n">
        <v>0.0277777777777778</v>
      </c>
      <c r="M53" s="61" t="s">
        <v>811</v>
      </c>
      <c r="N53" s="60"/>
      <c r="O53" s="56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customFormat="false" ht="22.5" hidden="false" customHeight="true" outlineLevel="0" collapsed="false">
      <c r="A54" s="63" t="n">
        <v>45803</v>
      </c>
      <c r="B54" s="1" t="n">
        <v>11</v>
      </c>
      <c r="C54" s="75" t="str">
        <f aca="false">IF(ISBLANK(A54), "--", PROPER(TEXT(A54, "dddd")))</f>
        <v>Monday</v>
      </c>
      <c r="D54" s="56" t="s">
        <v>130</v>
      </c>
      <c r="E54" s="56" t="s">
        <v>17</v>
      </c>
      <c r="F54" s="60" t="s">
        <v>812</v>
      </c>
      <c r="G54" s="56" t="s">
        <v>19</v>
      </c>
      <c r="H54" s="56" t="s">
        <v>70</v>
      </c>
      <c r="I54" s="56" t="s">
        <v>21</v>
      </c>
      <c r="J54" s="57" t="n">
        <v>45804</v>
      </c>
      <c r="K54" s="58" t="n">
        <v>1</v>
      </c>
      <c r="L54" s="59" t="n">
        <v>0.0993055555555556</v>
      </c>
      <c r="M54" s="61" t="s">
        <v>813</v>
      </c>
      <c r="N54" s="60"/>
      <c r="O54" s="56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 customFormat="false" ht="22.5" hidden="false" customHeight="true" outlineLevel="0" collapsed="false">
      <c r="A55" s="63" t="n">
        <v>45803</v>
      </c>
      <c r="B55" s="1" t="n">
        <v>11</v>
      </c>
      <c r="C55" s="75" t="str">
        <f aca="false">IF(ISBLANK(A55), "--", PROPER(TEXT(A55, "dddd")))</f>
        <v>Monday</v>
      </c>
      <c r="D55" s="56" t="s">
        <v>145</v>
      </c>
      <c r="E55" s="56" t="s">
        <v>139</v>
      </c>
      <c r="F55" s="60" t="s">
        <v>814</v>
      </c>
      <c r="G55" s="56" t="s">
        <v>19</v>
      </c>
      <c r="H55" s="56" t="s">
        <v>141</v>
      </c>
      <c r="I55" s="56" t="s">
        <v>21</v>
      </c>
      <c r="J55" s="57" t="n">
        <v>45803</v>
      </c>
      <c r="K55" s="58" t="n">
        <v>0.5</v>
      </c>
      <c r="L55" s="59" t="n">
        <v>0.00694444444444444</v>
      </c>
      <c r="M55" s="83" t="s">
        <v>815</v>
      </c>
      <c r="N55" s="60"/>
      <c r="O55" s="56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customFormat="false" ht="22.5" hidden="false" customHeight="true" outlineLevel="0" collapsed="false">
      <c r="A56" s="63" t="n">
        <v>45804</v>
      </c>
      <c r="B56" s="1" t="n">
        <v>11</v>
      </c>
      <c r="C56" s="75" t="str">
        <f aca="false">IF(ISBLANK(A56), "--", PROPER(TEXT(A56, "dddd")))</f>
        <v>Tuesday</v>
      </c>
      <c r="D56" s="56" t="s">
        <v>167</v>
      </c>
      <c r="E56" s="56" t="s">
        <v>17</v>
      </c>
      <c r="F56" s="60" t="s">
        <v>816</v>
      </c>
      <c r="G56" s="56" t="s">
        <v>19</v>
      </c>
      <c r="H56" s="56" t="s">
        <v>449</v>
      </c>
      <c r="I56" s="56" t="s">
        <v>21</v>
      </c>
      <c r="J56" s="63" t="n">
        <v>45814</v>
      </c>
      <c r="K56" s="58" t="n">
        <v>5</v>
      </c>
      <c r="L56" s="59" t="n">
        <v>0.4125</v>
      </c>
      <c r="M56" s="31" t="s">
        <v>817</v>
      </c>
      <c r="N56" s="60"/>
      <c r="O56" s="56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 customFormat="false" ht="22.5" hidden="false" customHeight="true" outlineLevel="0" collapsed="false">
      <c r="A57" s="57" t="n">
        <v>45804</v>
      </c>
      <c r="B57" s="1" t="n">
        <v>11</v>
      </c>
      <c r="C57" s="75" t="str">
        <f aca="false">IF(ISBLANK(A57), "--", PROPER(TEXT(A57, "dddd")))</f>
        <v>Tuesday</v>
      </c>
      <c r="D57" s="56" t="s">
        <v>145</v>
      </c>
      <c r="E57" s="56" t="s">
        <v>139</v>
      </c>
      <c r="F57" s="60" t="s">
        <v>818</v>
      </c>
      <c r="G57" s="56" t="s">
        <v>48</v>
      </c>
      <c r="H57" s="56" t="s">
        <v>141</v>
      </c>
      <c r="I57" s="56" t="s">
        <v>21</v>
      </c>
      <c r="J57" s="57" t="n">
        <v>45804</v>
      </c>
      <c r="K57" s="58" t="n">
        <v>0.5</v>
      </c>
      <c r="L57" s="59" t="n">
        <v>0.03125</v>
      </c>
      <c r="M57" s="31" t="s">
        <v>819</v>
      </c>
      <c r="N57" s="60"/>
      <c r="O57" s="56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 customFormat="false" ht="22.5" hidden="false" customHeight="true" outlineLevel="0" collapsed="false">
      <c r="A58" s="63" t="n">
        <v>45804</v>
      </c>
      <c r="B58" s="1" t="n">
        <v>11</v>
      </c>
      <c r="C58" s="75" t="str">
        <f aca="false">IF(ISBLANK(A58), "--", PROPER(TEXT(A58, "dddd")))</f>
        <v>Tuesday</v>
      </c>
      <c r="D58" s="56" t="s">
        <v>167</v>
      </c>
      <c r="E58" s="56" t="s">
        <v>17</v>
      </c>
      <c r="F58" s="60" t="s">
        <v>820</v>
      </c>
      <c r="G58" s="56" t="s">
        <v>19</v>
      </c>
      <c r="H58" s="56" t="s">
        <v>449</v>
      </c>
      <c r="I58" s="56" t="s">
        <v>21</v>
      </c>
      <c r="J58" s="57" t="n">
        <v>45804</v>
      </c>
      <c r="K58" s="58" t="n">
        <v>0.5</v>
      </c>
      <c r="L58" s="59" t="n">
        <v>0.0180555555555556</v>
      </c>
      <c r="M58" s="61" t="s">
        <v>821</v>
      </c>
      <c r="N58" s="60"/>
      <c r="O58" s="56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 customFormat="false" ht="22.5" hidden="false" customHeight="true" outlineLevel="0" collapsed="false">
      <c r="A59" s="63" t="n">
        <v>45804</v>
      </c>
      <c r="B59" s="1" t="n">
        <v>11</v>
      </c>
      <c r="C59" s="75" t="str">
        <f aca="false">IF(ISBLANK(A59), "--", PROPER(TEXT(A59, "dddd")))</f>
        <v>Tuesday</v>
      </c>
      <c r="D59" s="56" t="s">
        <v>167</v>
      </c>
      <c r="E59" s="56" t="s">
        <v>17</v>
      </c>
      <c r="F59" s="60" t="s">
        <v>822</v>
      </c>
      <c r="G59" s="56" t="s">
        <v>77</v>
      </c>
      <c r="H59" s="56" t="s">
        <v>449</v>
      </c>
      <c r="I59" s="56" t="s">
        <v>21</v>
      </c>
      <c r="J59" s="57" t="n">
        <v>45806</v>
      </c>
      <c r="K59" s="58" t="n">
        <v>2</v>
      </c>
      <c r="L59" s="59" t="n">
        <v>0.327083333333333</v>
      </c>
      <c r="M59" s="61" t="s">
        <v>823</v>
      </c>
      <c r="N59" s="60"/>
      <c r="O59" s="56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 customFormat="false" ht="22.5" hidden="false" customHeight="true" outlineLevel="0" collapsed="false">
      <c r="A60" s="57" t="n">
        <v>45804</v>
      </c>
      <c r="B60" s="1" t="n">
        <v>11</v>
      </c>
      <c r="C60" s="75" t="str">
        <f aca="false">IF(ISBLANK(A60), "--", PROPER(TEXT(A60, "dddd")))</f>
        <v>Tuesday</v>
      </c>
      <c r="D60" s="56" t="s">
        <v>145</v>
      </c>
      <c r="E60" s="56" t="s">
        <v>139</v>
      </c>
      <c r="F60" s="60" t="s">
        <v>824</v>
      </c>
      <c r="G60" s="56" t="s">
        <v>48</v>
      </c>
      <c r="H60" s="56" t="s">
        <v>141</v>
      </c>
      <c r="I60" s="56" t="s">
        <v>21</v>
      </c>
      <c r="J60" s="57" t="n">
        <v>45804</v>
      </c>
      <c r="K60" s="58" t="n">
        <v>0.5</v>
      </c>
      <c r="L60" s="59" t="n">
        <v>0.00555555555555556</v>
      </c>
      <c r="M60" s="61" t="s">
        <v>825</v>
      </c>
      <c r="N60" s="60"/>
      <c r="O60" s="56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 customFormat="false" ht="22.5" hidden="false" customHeight="true" outlineLevel="0" collapsed="false">
      <c r="A61" s="57" t="n">
        <v>45805</v>
      </c>
      <c r="B61" s="1" t="n">
        <v>11</v>
      </c>
      <c r="C61" s="75" t="str">
        <f aca="false">IF(ISBLANK(A61), "--", PROPER(TEXT(A61, "dddd")))</f>
        <v>Wednesday</v>
      </c>
      <c r="D61" s="56" t="s">
        <v>16</v>
      </c>
      <c r="E61" s="56" t="s">
        <v>17</v>
      </c>
      <c r="F61" s="60" t="s">
        <v>826</v>
      </c>
      <c r="G61" s="56" t="s">
        <v>19</v>
      </c>
      <c r="H61" s="56" t="s">
        <v>449</v>
      </c>
      <c r="I61" s="56" t="s">
        <v>21</v>
      </c>
      <c r="J61" s="57" t="n">
        <v>45805</v>
      </c>
      <c r="K61" s="58" t="n">
        <v>0.5</v>
      </c>
      <c r="L61" s="59" t="n">
        <v>0.0493055555555556</v>
      </c>
      <c r="M61" s="61" t="s">
        <v>827</v>
      </c>
      <c r="N61" s="60"/>
      <c r="O61" s="56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</row>
    <row r="62" customFormat="false" ht="22.5" hidden="false" customHeight="true" outlineLevel="0" collapsed="false">
      <c r="A62" s="57" t="n">
        <v>45805</v>
      </c>
      <c r="B62" s="1" t="n">
        <v>11</v>
      </c>
      <c r="C62" s="75" t="str">
        <f aca="false">IF(ISBLANK(A62), "--", PROPER(TEXT(A62, "dddd")))</f>
        <v>Wednesday</v>
      </c>
      <c r="D62" s="56" t="s">
        <v>16</v>
      </c>
      <c r="E62" s="56" t="s">
        <v>17</v>
      </c>
      <c r="F62" s="60" t="s">
        <v>828</v>
      </c>
      <c r="G62" s="56" t="s">
        <v>19</v>
      </c>
      <c r="H62" s="56" t="s">
        <v>449</v>
      </c>
      <c r="I62" s="56" t="s">
        <v>21</v>
      </c>
      <c r="J62" s="57" t="n">
        <v>45805</v>
      </c>
      <c r="K62" s="58" t="n">
        <v>1</v>
      </c>
      <c r="L62" s="59" t="n">
        <v>0.0409722222222222</v>
      </c>
      <c r="M62" s="61" t="s">
        <v>829</v>
      </c>
      <c r="N62" s="60"/>
      <c r="O62" s="56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 customFormat="false" ht="22.5" hidden="false" customHeight="true" outlineLevel="0" collapsed="false">
      <c r="A63" s="57" t="n">
        <v>45805</v>
      </c>
      <c r="B63" s="1" t="n">
        <v>11</v>
      </c>
      <c r="C63" s="75" t="str">
        <f aca="false">IF(ISBLANK(A63), "--", PROPER(TEXT(A63, "dddd")))</f>
        <v>Wednesday</v>
      </c>
      <c r="D63" s="56" t="s">
        <v>145</v>
      </c>
      <c r="E63" s="56" t="s">
        <v>139</v>
      </c>
      <c r="F63" s="60" t="s">
        <v>830</v>
      </c>
      <c r="G63" s="56" t="s">
        <v>19</v>
      </c>
      <c r="H63" s="56" t="s">
        <v>141</v>
      </c>
      <c r="I63" s="56" t="s">
        <v>21</v>
      </c>
      <c r="J63" s="57" t="n">
        <v>45805</v>
      </c>
      <c r="K63" s="58" t="n">
        <v>0.5</v>
      </c>
      <c r="L63" s="59" t="n">
        <v>0.00208333333333333</v>
      </c>
      <c r="M63" s="61" t="s">
        <v>831</v>
      </c>
      <c r="N63" s="60"/>
      <c r="O63" s="56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 customFormat="false" ht="22.5" hidden="false" customHeight="true" outlineLevel="0" collapsed="false">
      <c r="A64" s="57" t="n">
        <v>45806</v>
      </c>
      <c r="B64" s="1" t="n">
        <v>11</v>
      </c>
      <c r="C64" s="75" t="str">
        <f aca="false">IF(ISBLANK(A64), "--", PROPER(TEXT(A64, "dddd")))</f>
        <v>Thursday</v>
      </c>
      <c r="D64" s="56" t="s">
        <v>16</v>
      </c>
      <c r="E64" s="56" t="s">
        <v>17</v>
      </c>
      <c r="F64" s="60" t="s">
        <v>832</v>
      </c>
      <c r="G64" s="56" t="s">
        <v>19</v>
      </c>
      <c r="H64" s="56" t="s">
        <v>449</v>
      </c>
      <c r="I64" s="56" t="s">
        <v>21</v>
      </c>
      <c r="J64" s="57" t="n">
        <v>45806</v>
      </c>
      <c r="K64" s="58" t="n">
        <v>1</v>
      </c>
      <c r="L64" s="59" t="n">
        <v>0.0277777777777778</v>
      </c>
      <c r="M64" s="61" t="s">
        <v>833</v>
      </c>
      <c r="N64" s="60"/>
      <c r="O64" s="56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 customFormat="false" ht="22.5" hidden="false" customHeight="true" outlineLevel="0" collapsed="false">
      <c r="A65" s="57" t="n">
        <v>45806</v>
      </c>
      <c r="B65" s="1" t="n">
        <v>11</v>
      </c>
      <c r="C65" s="75" t="str">
        <f aca="false">IF(ISBLANK(A65), "--", PROPER(TEXT(A65, "dddd")))</f>
        <v>Thursday</v>
      </c>
      <c r="D65" s="56" t="s">
        <v>85</v>
      </c>
      <c r="E65" s="56" t="s">
        <v>17</v>
      </c>
      <c r="F65" s="84" t="s">
        <v>834</v>
      </c>
      <c r="G65" s="56" t="s">
        <v>19</v>
      </c>
      <c r="H65" s="56" t="s">
        <v>74</v>
      </c>
      <c r="I65" s="56" t="s">
        <v>21</v>
      </c>
      <c r="J65" s="57" t="n">
        <v>45811</v>
      </c>
      <c r="K65" s="58" t="n">
        <v>1</v>
      </c>
      <c r="L65" s="59" t="n">
        <v>0.0645833333333333</v>
      </c>
      <c r="M65" s="61" t="s">
        <v>835</v>
      </c>
      <c r="N65" s="60"/>
      <c r="O65" s="56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 customFormat="false" ht="22.5" hidden="false" customHeight="true" outlineLevel="0" collapsed="false">
      <c r="A66" s="57" t="n">
        <v>45806</v>
      </c>
      <c r="B66" s="1" t="n">
        <v>11</v>
      </c>
      <c r="C66" s="75" t="str">
        <f aca="false">IF(ISBLANK(A66), "--", PROPER(TEXT(A66, "dddd")))</f>
        <v>Thursday</v>
      </c>
      <c r="D66" s="56" t="s">
        <v>156</v>
      </c>
      <c r="E66" s="56" t="s">
        <v>17</v>
      </c>
      <c r="F66" s="84" t="s">
        <v>836</v>
      </c>
      <c r="G66" s="56" t="s">
        <v>19</v>
      </c>
      <c r="H66" s="56" t="s">
        <v>449</v>
      </c>
      <c r="I66" s="56" t="s">
        <v>21</v>
      </c>
      <c r="J66" s="57" t="n">
        <v>45811</v>
      </c>
      <c r="K66" s="58" t="n">
        <v>1</v>
      </c>
      <c r="L66" s="59" t="n">
        <v>0.0319444444444444</v>
      </c>
      <c r="M66" s="61" t="s">
        <v>837</v>
      </c>
      <c r="N66" s="60"/>
      <c r="O66" s="56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 customFormat="false" ht="22.5" hidden="false" customHeight="true" outlineLevel="0" collapsed="false">
      <c r="A67" s="57" t="n">
        <v>45807</v>
      </c>
      <c r="B67" s="1" t="n">
        <v>11</v>
      </c>
      <c r="C67" s="75" t="str">
        <f aca="false">IF(ISBLANK(A67), "--", PROPER(TEXT(A67, "dddd")))</f>
        <v>Friday</v>
      </c>
      <c r="D67" s="56" t="s">
        <v>46</v>
      </c>
      <c r="E67" s="56" t="s">
        <v>17</v>
      </c>
      <c r="F67" s="60" t="s">
        <v>838</v>
      </c>
      <c r="G67" s="56" t="s">
        <v>19</v>
      </c>
      <c r="H67" s="56" t="s">
        <v>53</v>
      </c>
      <c r="I67" s="56" t="s">
        <v>21</v>
      </c>
      <c r="J67" s="57" t="n">
        <v>45807</v>
      </c>
      <c r="K67" s="58" t="n">
        <v>1</v>
      </c>
      <c r="L67" s="59" t="n">
        <v>0.119444444444444</v>
      </c>
      <c r="M67" s="61" t="s">
        <v>839</v>
      </c>
      <c r="N67" s="60"/>
      <c r="O67" s="56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customFormat="false" ht="22.5" hidden="false" customHeight="true" outlineLevel="0" collapsed="false">
      <c r="A68" s="57" t="n">
        <v>45807</v>
      </c>
      <c r="B68" s="1" t="n">
        <v>11</v>
      </c>
      <c r="C68" s="75" t="str">
        <f aca="false">IF(ISBLANK(A68), "--", PROPER(TEXT(A68, "dddd")))</f>
        <v>Friday</v>
      </c>
      <c r="D68" s="56" t="s">
        <v>16</v>
      </c>
      <c r="E68" s="56" t="s">
        <v>17</v>
      </c>
      <c r="F68" s="60" t="s">
        <v>840</v>
      </c>
      <c r="G68" s="56" t="s">
        <v>77</v>
      </c>
      <c r="H68" s="56" t="s">
        <v>449</v>
      </c>
      <c r="I68" s="56" t="s">
        <v>21</v>
      </c>
      <c r="J68" s="57" t="n">
        <v>45807</v>
      </c>
      <c r="K68" s="58" t="n">
        <v>0.5</v>
      </c>
      <c r="L68" s="59" t="n">
        <v>0.0493055555555556</v>
      </c>
      <c r="M68" s="31" t="s">
        <v>841</v>
      </c>
      <c r="N68" s="60"/>
      <c r="O68" s="56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  <c r="O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  <c r="O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  <c r="O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  <c r="O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  <c r="O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  <c r="O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  <c r="O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  <c r="O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  <c r="O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  <c r="O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  <c r="O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  <c r="O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  <c r="O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  <c r="O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  <c r="O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  <c r="O913" s="44"/>
    </row>
    <row r="914" customFormat="false" ht="15.75" hidden="false" customHeight="false" outlineLevel="0" collapsed="false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6"/>
      <c r="L914" s="44"/>
      <c r="M914" s="44"/>
      <c r="N914" s="44"/>
      <c r="O914" s="44"/>
    </row>
    <row r="915" customFormat="false" ht="15.75" hidden="false" customHeight="false" outlineLevel="0" collapsed="false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6"/>
      <c r="L915" s="44"/>
      <c r="M915" s="44"/>
      <c r="N915" s="44"/>
      <c r="O915" s="44"/>
    </row>
    <row r="916" customFormat="false" ht="15.75" hidden="false" customHeight="false" outlineLevel="0" collapsed="false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6"/>
      <c r="L916" s="44"/>
      <c r="M916" s="44"/>
      <c r="N916" s="44"/>
      <c r="O916" s="44"/>
    </row>
    <row r="917" customFormat="false" ht="15.75" hidden="false" customHeight="false" outlineLevel="0" collapsed="false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6"/>
      <c r="L917" s="44"/>
      <c r="M917" s="44"/>
      <c r="N917" s="44"/>
      <c r="O917" s="44"/>
    </row>
    <row r="918" customFormat="false" ht="15.75" hidden="false" customHeight="false" outlineLevel="0" collapsed="false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6"/>
      <c r="L918" s="44"/>
      <c r="M918" s="44"/>
      <c r="N918" s="44"/>
      <c r="O918" s="44"/>
    </row>
    <row r="919" customFormat="false" ht="15.75" hidden="false" customHeight="false" outlineLevel="0" collapsed="false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6"/>
      <c r="L919" s="44"/>
      <c r="M919" s="44"/>
      <c r="N919" s="44"/>
      <c r="O919" s="44"/>
    </row>
    <row r="920" customFormat="false" ht="15.75" hidden="false" customHeight="false" outlineLevel="0" collapsed="false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6"/>
      <c r="L920" s="44"/>
      <c r="M920" s="44"/>
      <c r="N920" s="44"/>
      <c r="O920" s="44"/>
    </row>
    <row r="921" customFormat="false" ht="15.75" hidden="false" customHeight="false" outlineLevel="0" collapsed="false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6"/>
      <c r="L921" s="44"/>
      <c r="M921" s="44"/>
      <c r="N921" s="44"/>
      <c r="O921" s="44"/>
    </row>
    <row r="922" customFormat="false" ht="15.75" hidden="false" customHeight="false" outlineLevel="0" collapsed="false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6"/>
      <c r="L922" s="44"/>
      <c r="M922" s="44"/>
      <c r="N922" s="44"/>
      <c r="O922" s="44"/>
    </row>
    <row r="923" customFormat="false" ht="15.75" hidden="false" customHeight="false" outlineLevel="0" collapsed="false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6"/>
      <c r="L923" s="44"/>
      <c r="M923" s="44"/>
      <c r="N923" s="44"/>
      <c r="O923" s="44"/>
    </row>
    <row r="924" customFormat="false" ht="15.75" hidden="false" customHeight="false" outlineLevel="0" collapsed="false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6"/>
      <c r="L924" s="44"/>
      <c r="M924" s="44"/>
      <c r="N924" s="44"/>
      <c r="O924" s="44"/>
    </row>
    <row r="925" customFormat="false" ht="15.75" hidden="false" customHeight="false" outlineLevel="0" collapsed="false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6"/>
      <c r="L925" s="44"/>
      <c r="M925" s="44"/>
      <c r="N925" s="44"/>
      <c r="O925" s="44"/>
    </row>
    <row r="926" customFormat="false" ht="15.75" hidden="false" customHeight="false" outlineLevel="0" collapsed="false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6"/>
      <c r="L926" s="44"/>
      <c r="M926" s="44"/>
      <c r="N926" s="44"/>
      <c r="O926" s="44"/>
    </row>
    <row r="927" customFormat="false" ht="15.75" hidden="false" customHeight="false" outlineLevel="0" collapsed="false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6"/>
      <c r="L927" s="44"/>
      <c r="M927" s="44"/>
      <c r="N927" s="44"/>
      <c r="O927" s="44"/>
    </row>
    <row r="928" customFormat="false" ht="15.75" hidden="false" customHeight="false" outlineLevel="0" collapsed="false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6"/>
      <c r="L928" s="44"/>
      <c r="M928" s="44"/>
      <c r="N928" s="44"/>
      <c r="O928" s="44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false" outlineLevel="0" collapsed="false">
      <c r="B936" s="44"/>
      <c r="K936" s="46"/>
    </row>
    <row r="937" customFormat="false" ht="15.75" hidden="false" customHeight="false" outlineLevel="0" collapsed="false">
      <c r="B937" s="44"/>
      <c r="K937" s="46"/>
    </row>
    <row r="938" customFormat="false" ht="15.75" hidden="false" customHeight="false" outlineLevel="0" collapsed="false">
      <c r="B938" s="44"/>
      <c r="K938" s="46"/>
    </row>
    <row r="939" customFormat="false" ht="15.75" hidden="false" customHeight="false" outlineLevel="0" collapsed="false">
      <c r="B939" s="44"/>
      <c r="K939" s="46"/>
    </row>
    <row r="940" customFormat="false" ht="15.75" hidden="false" customHeight="false" outlineLevel="0" collapsed="false">
      <c r="B940" s="44"/>
      <c r="K940" s="46"/>
    </row>
    <row r="941" customFormat="false" ht="15.75" hidden="false" customHeight="false" outlineLevel="0" collapsed="false">
      <c r="B941" s="44"/>
      <c r="K941" s="46"/>
    </row>
    <row r="942" customFormat="false" ht="15.75" hidden="false" customHeight="false" outlineLevel="0" collapsed="false">
      <c r="B942" s="44"/>
      <c r="K942" s="46"/>
    </row>
    <row r="943" customFormat="false" ht="15.75" hidden="false" customHeight="false" outlineLevel="0" collapsed="false">
      <c r="B943" s="44"/>
      <c r="K943" s="46"/>
    </row>
    <row r="944" customFormat="false" ht="15.75" hidden="false" customHeight="false" outlineLevel="0" collapsed="false">
      <c r="B944" s="44"/>
      <c r="K944" s="46"/>
    </row>
    <row r="945" customFormat="false" ht="15.75" hidden="false" customHeight="false" outlineLevel="0" collapsed="false">
      <c r="B945" s="44"/>
      <c r="K945" s="46"/>
    </row>
    <row r="946" customFormat="false" ht="15.75" hidden="false" customHeight="false" outlineLevel="0" collapsed="false">
      <c r="B946" s="44"/>
      <c r="K946" s="46"/>
    </row>
    <row r="947" customFormat="false" ht="15.75" hidden="false" customHeight="false" outlineLevel="0" collapsed="false">
      <c r="B947" s="44"/>
      <c r="K947" s="46"/>
    </row>
    <row r="948" customFormat="false" ht="15.75" hidden="false" customHeight="false" outlineLevel="0" collapsed="false">
      <c r="B948" s="44"/>
      <c r="K948" s="46"/>
    </row>
    <row r="949" customFormat="false" ht="15.75" hidden="false" customHeight="false" outlineLevel="0" collapsed="false">
      <c r="B949" s="44"/>
      <c r="K949" s="46"/>
    </row>
    <row r="950" customFormat="false" ht="15.75" hidden="false" customHeight="false" outlineLevel="0" collapsed="false">
      <c r="B950" s="44"/>
      <c r="K950" s="46"/>
    </row>
    <row r="951" customFormat="false" ht="15.75" hidden="false" customHeight="false" outlineLevel="0" collapsed="false">
      <c r="B951" s="44"/>
      <c r="K951" s="46"/>
    </row>
    <row r="952" customFormat="false" ht="15.75" hidden="false" customHeight="false" outlineLevel="0" collapsed="false">
      <c r="B952" s="44"/>
      <c r="K952" s="46"/>
    </row>
    <row r="953" customFormat="false" ht="15.75" hidden="false" customHeight="false" outlineLevel="0" collapsed="false">
      <c r="B953" s="44"/>
      <c r="K953" s="46"/>
    </row>
    <row r="954" customFormat="false" ht="15.75" hidden="false" customHeight="false" outlineLevel="0" collapsed="false">
      <c r="B954" s="44"/>
      <c r="K954" s="46"/>
    </row>
    <row r="955" customFormat="false" ht="15.75" hidden="false" customHeight="false" outlineLevel="0" collapsed="false">
      <c r="B955" s="44"/>
      <c r="K955" s="46"/>
    </row>
    <row r="956" customFormat="false" ht="15.75" hidden="false" customHeight="false" outlineLevel="0" collapsed="false">
      <c r="B956" s="44"/>
      <c r="K956" s="46"/>
    </row>
    <row r="957" customFormat="false" ht="15.75" hidden="false" customHeight="false" outlineLevel="0" collapsed="false">
      <c r="B957" s="44"/>
      <c r="K957" s="46"/>
    </row>
    <row r="958" customFormat="false" ht="15.75" hidden="false" customHeight="false" outlineLevel="0" collapsed="false">
      <c r="B958" s="44"/>
      <c r="K958" s="46"/>
    </row>
    <row r="959" customFormat="false" ht="15.75" hidden="false" customHeight="false" outlineLevel="0" collapsed="false">
      <c r="B959" s="44"/>
      <c r="K959" s="46"/>
    </row>
    <row r="960" customFormat="false" ht="15.75" hidden="false" customHeight="false" outlineLevel="0" collapsed="false">
      <c r="B960" s="44"/>
      <c r="K960" s="46"/>
    </row>
    <row r="961" customFormat="false" ht="15.75" hidden="false" customHeight="false" outlineLevel="0" collapsed="false">
      <c r="B961" s="44"/>
      <c r="K961" s="46"/>
    </row>
    <row r="962" customFormat="false" ht="15.75" hidden="false" customHeight="false" outlineLevel="0" collapsed="false">
      <c r="B962" s="44"/>
      <c r="K962" s="46"/>
    </row>
    <row r="963" customFormat="false" ht="15.75" hidden="false" customHeight="false" outlineLevel="0" collapsed="false">
      <c r="B963" s="44"/>
      <c r="K963" s="46"/>
    </row>
    <row r="964" customFormat="false" ht="15.75" hidden="false" customHeight="false" outlineLevel="0" collapsed="false">
      <c r="B964" s="44"/>
      <c r="K964" s="46"/>
    </row>
    <row r="965" customFormat="false" ht="15.75" hidden="false" customHeight="false" outlineLevel="0" collapsed="false">
      <c r="B965" s="44"/>
      <c r="K965" s="46"/>
    </row>
  </sheetData>
  <dataValidations count="9">
    <dataValidation allowBlank="true" errorStyle="stop" operator="between" showDropDown="true" showErrorMessage="false" showInputMessage="false" sqref="F2:F68 N2:N68" type="none">
      <formula1>0</formula1>
      <formula2>0</formula2>
    </dataValidation>
    <dataValidation allowBlank="true" errorStyle="stop" operator="between" showDropDown="false" showErrorMessage="true" showInputMessage="false" sqref="C2:C68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E2:E68" type="list">
      <formula1>"Ajustes,Soporte,Mejoras,Corrección,Configuraciones,Revisión,--,Pagina Web,IT,Error,Blue,SOLICITUD ,PENDIENTE,Cotización "</formula1>
      <formula2>0</formula2>
    </dataValidation>
    <dataValidation allowBlank="true" errorStyle="stop" operator="between" showDropDown="false" showErrorMessage="true" showInputMessage="false" sqref="G2:G68" type="list">
      <formula1>"Alta,Normal,Urgente,Baja,--"</formula1>
      <formula2>0</formula2>
    </dataValidation>
    <dataValidation allowBlank="true" errorStyle="stop" operator="between" showDropDown="false" showErrorMessage="false" showInputMessage="false" sqref="I2:I68" type="list">
      <formula1>"Closed,Ready for testing ,Open,Under review,Partially Done,In progress,Approved,--,Needs more work,Deploy to production"</formula1>
      <formula2>0</formula2>
    </dataValidation>
    <dataValidation allowBlank="true" errorStyle="stop" operator="between" showDropDown="true" showErrorMessage="false" showInputMessage="false" sqref="A2:A68 J2:J68" type="custom">
      <formula1>OR(NOT(ISERROR(DATEVALUE(A2))), AND(ISNUMBER(A2), LEFT(CELL("format", A2))="D"))</formula1>
      <formula2>0</formula2>
    </dataValidation>
    <dataValidation allowBlank="true" errorStyle="stop" operator="between" showDropDown="true" showErrorMessage="false" showInputMessage="false" sqref="K2:K68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D2:D68" type="list">
      <formula1>"Faktur,Backpro,Zuckerman,Facialart,Dejusticia,Happycinamon,Nulab,Ncarb,ECOS,IDK,BMS,--,Swapps,WWilson,Tabby,Smart Web Apps,Comfinagro,IMC,Geosig,Soluciones Cientificas"</formula1>
      <formula2>0</formula2>
    </dataValidation>
    <dataValidation allowBlank="true" errorStyle="stop" operator="between" showDropDown="false" showErrorMessage="false" showInputMessage="false" sqref="H2:H68" type="list">
      <formula1>"Iván,Carlos,Gustavo,Diego,Andrés,JC,José,Héctor,Mateo,--,Blue,Carlos M,Johan"</formula1>
      <formula2>0</formula2>
    </dataValidation>
  </dataValidations>
  <hyperlinks>
    <hyperlink ref="M2" r:id="rId2" display="https://app.clickup.com/t/86b4vnmkc"/>
    <hyperlink ref="M3" r:id="rId3" display="https://app.clickup.com/t/86b4vt8y6"/>
    <hyperlink ref="M4" r:id="rId4" display="https://app.clickup.com/t/86b4w5e8c"/>
    <hyperlink ref="M5" r:id="rId5" display="https://app.clickup.com/t/86b4w6v1q"/>
    <hyperlink ref="M6" r:id="rId6" display="https://app.clickup.com/t/86b4wbewg"/>
    <hyperlink ref="M7" r:id="rId7" display="https://app.clickup.com/t/86b4xaf9x"/>
    <hyperlink ref="M8" r:id="rId8" display="https://app.clickup.com/t/86b4xacmp"/>
    <hyperlink ref="M9" r:id="rId9" display="https://app.clickup.com/t/86b4xvmdn"/>
    <hyperlink ref="M10" r:id="rId10" display="https://app.clickup.com/t/86b4xwng6"/>
    <hyperlink ref="M11" r:id="rId11" display="https://app.clickup.com/t/454056/86b4y266g"/>
    <hyperlink ref="M12" r:id="rId12" display="https://app.clickup.com/t/454056/86b4y27uq"/>
    <hyperlink ref="M13" r:id="rId13" display="https://app.clickup.com/t/86b4yarbt"/>
    <hyperlink ref="M14" r:id="rId14" display="https://app.clickup.com/t/86b4yb1rh"/>
    <hyperlink ref="M15" r:id="rId15" display="https://app.clickup.com/t/86b4yrh8v"/>
    <hyperlink ref="M16" r:id="rId16" display="https://app.clickup.com/t/86b4yrkqb"/>
    <hyperlink ref="M17" r:id="rId17" display="https://app.clickup.com/t/86b4yfbgy"/>
    <hyperlink ref="M18" r:id="rId18" display="https://app.clickup.com/t/86b4yv3cc"/>
    <hyperlink ref="M19" r:id="rId19" display="https://app.clickup.com/t/86b4yv2cy"/>
    <hyperlink ref="M20" r:id="rId20" display="https://app.clickup.com/t/86b4yvb56"/>
    <hyperlink ref="M21" r:id="rId21" display="https://app.clickup.com/t/86b4yw3ru"/>
    <hyperlink ref="M22" r:id="rId22" display="https://app.clickup.com/t/86b4ze0rh"/>
    <hyperlink ref="M23" r:id="rId23" display="https://app.clickup.com/t/86b4zg1tr"/>
    <hyperlink ref="M24" r:id="rId24" display="https://app.clickup.com/t/86b4zgp9t"/>
    <hyperlink ref="M25" r:id="rId25" display="https://app.clickup.com/t/86b4zjhrr"/>
    <hyperlink ref="M26" r:id="rId26" display="https://app.clickup.com/t/86b4zv787"/>
    <hyperlink ref="M27" r:id="rId27" display="https://app.clickup.com/t/86b4zu9yd"/>
    <hyperlink ref="M28" r:id="rId28" display="https://app.clickup.com/t/86b4zvt09"/>
    <hyperlink ref="M29" r:id="rId29" display="https://app.clickup.com/t/86b4zwbj8"/>
    <hyperlink ref="M30" r:id="rId30" display="https://app.clickup.com/t/86b4zv787"/>
    <hyperlink ref="M31" r:id="rId31" display="https://app.clickup.com/t/86b50akje"/>
    <hyperlink ref="M32" r:id="rId32" display="https://app.clickup.com/t/86b50eqkj"/>
    <hyperlink ref="M33" r:id="rId33" display="https://app.clickup.com/t/86b50g37m"/>
    <hyperlink ref="M34" r:id="rId34" display="https://app.clickup.com/t/86b5101fp"/>
    <hyperlink ref="M35" r:id="rId35" display="https://app.clickup.com/t/86b50u2n8"/>
    <hyperlink ref="M36" r:id="rId36" display="https://app.clickup.com/t/86b512d0a"/>
    <hyperlink ref="M37" r:id="rId37" display="https://app.clickup.com/t/86b51g2f7"/>
    <hyperlink ref="M38" r:id="rId38" display="https://app.clickup.com/t/86b51yggb"/>
    <hyperlink ref="M39" r:id="rId39" display="https://app.clickup.com/t/86b51y7xb"/>
    <hyperlink ref="M40" r:id="rId40" display="https://app.clickup.com/t/86b51y5q5"/>
    <hyperlink ref="M41" r:id="rId41" display="https://app.clickup.com/t/86b522xxw"/>
    <hyperlink ref="M42" r:id="rId42" display="https://app.clickup.com/t/86b5242x2"/>
    <hyperlink ref="M43" r:id="rId43" display="https://app.clickup.com/t/86b52547t"/>
    <hyperlink ref="M44" r:id="rId44" display="https://app.clickup.com/t/86b525q5x"/>
    <hyperlink ref="M45" r:id="rId45" display="https://app.clickup.com/t/86b52ag34"/>
    <hyperlink ref="M46" r:id="rId46" display="https://app.clickup.com/t/86b52e7y5"/>
    <hyperlink ref="M47" r:id="rId47" display="https://app.clickup.com/t/86b52v036"/>
    <hyperlink ref="M48" r:id="rId48" display="https://app.clickup.com/t/86b531r3h"/>
    <hyperlink ref="M49" r:id="rId49" display="https://app.clickup.com/t/86b53948v"/>
    <hyperlink ref="M50" r:id="rId50" display="https://app.clickup.com/t/86b53c5uh"/>
    <hyperlink ref="M51" r:id="rId51" display="https://app.clickup.com/t/86b53wf12"/>
    <hyperlink ref="M52" r:id="rId52" display="https://app.clickup.com/t/86b53vx13"/>
    <hyperlink ref="M53" r:id="rId53" display="https://app.clickup.com/t/86b54dgz8"/>
    <hyperlink ref="M54" r:id="rId54" display="https://app.clickup.com/t/86b54e306"/>
    <hyperlink ref="M55" r:id="rId55" display="https://app.clickup.com/t/86b54e5c9"/>
    <hyperlink ref="M56" r:id="rId56" display="https://app.clickup.com/t/86b54mpa4"/>
    <hyperlink ref="M57" r:id="rId57" display="https://app.clickup.com/t/86b54mv25"/>
    <hyperlink ref="M58" r:id="rId58" display="https://app.clickup.com/t/86b54rn13"/>
    <hyperlink ref="M59" r:id="rId59" display="https://app.clickup.com/t/86b54ub2v"/>
    <hyperlink ref="M60" r:id="rId60" display="https://app.clickup.com/t/86b54vyy3"/>
    <hyperlink ref="M61" r:id="rId61" display="https://app.clickup.com/t/86b551pra"/>
    <hyperlink ref="M62" r:id="rId62" display="https://app.clickup.com/t/86b553mx0"/>
    <hyperlink ref="M63" r:id="rId63" display="https://app.clickup.com/t/86b558r7b"/>
    <hyperlink ref="M64" r:id="rId64" display="https://app.clickup.com/t/86b55hky2"/>
    <hyperlink ref="M65" r:id="rId65" display="https://app.clickup.com/t/86b55htxa"/>
    <hyperlink ref="M66" r:id="rId66" display="https://app.clickup.com/t/86b55q8ej"/>
    <hyperlink ref="M67" r:id="rId67" display="https://app.clickup.com/t/86b568axm"/>
    <hyperlink ref="M68" r:id="rId68" display="https://app.clickup.com/t/86b568ghz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69"/>
  <tableParts>
    <tablePart r:id="rId7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true"/>
  </sheetPr>
  <dimension ref="A1:AG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3.75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64.89"/>
  </cols>
  <sheetData>
    <row r="1" customFormat="false" ht="22.5" hidden="false" customHeight="true" outlineLevel="0" collapsed="false">
      <c r="A1" s="50" t="s">
        <v>842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1" t="s">
        <v>14</v>
      </c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customFormat="false" ht="22.5" hidden="false" customHeight="true" outlineLevel="0" collapsed="false">
      <c r="A2" s="57" t="n">
        <v>45810</v>
      </c>
      <c r="B2" s="1" t="n">
        <v>11</v>
      </c>
      <c r="C2" s="75" t="str">
        <f aca="false">IF(ISBLANK(A2), "--", PROPER(TEXT(A2, "dddd")))</f>
        <v>Monday</v>
      </c>
      <c r="D2" s="56" t="s">
        <v>310</v>
      </c>
      <c r="E2" s="56" t="s">
        <v>17</v>
      </c>
      <c r="F2" s="60" t="s">
        <v>843</v>
      </c>
      <c r="G2" s="56" t="s">
        <v>19</v>
      </c>
      <c r="H2" s="56" t="s">
        <v>449</v>
      </c>
      <c r="I2" s="56" t="s">
        <v>21</v>
      </c>
      <c r="J2" s="57" t="n">
        <v>45813</v>
      </c>
      <c r="K2" s="58" t="n">
        <v>1</v>
      </c>
      <c r="L2" s="59" t="n">
        <v>0.122222222222222</v>
      </c>
      <c r="M2" s="31" t="s">
        <v>844</v>
      </c>
      <c r="N2" s="56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customFormat="false" ht="22.5" hidden="false" customHeight="true" outlineLevel="0" collapsed="false">
      <c r="A3" s="57" t="n">
        <v>45811</v>
      </c>
      <c r="B3" s="1" t="n">
        <v>11</v>
      </c>
      <c r="C3" s="75" t="str">
        <f aca="false">IF(ISBLANK(A3), "--", PROPER(TEXT(A3, "dddd")))</f>
        <v>Tuesday</v>
      </c>
      <c r="D3" s="56" t="s">
        <v>16</v>
      </c>
      <c r="E3" s="56" t="s">
        <v>17</v>
      </c>
      <c r="F3" s="60" t="s">
        <v>845</v>
      </c>
      <c r="G3" s="56" t="s">
        <v>19</v>
      </c>
      <c r="H3" s="56" t="s">
        <v>449</v>
      </c>
      <c r="I3" s="56" t="s">
        <v>21</v>
      </c>
      <c r="J3" s="57" t="n">
        <v>45812</v>
      </c>
      <c r="K3" s="58" t="n">
        <v>2</v>
      </c>
      <c r="L3" s="59" t="n">
        <v>0.0847222222222222</v>
      </c>
      <c r="M3" s="31" t="s">
        <v>846</v>
      </c>
      <c r="N3" s="56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</row>
    <row r="4" customFormat="false" ht="22.5" hidden="false" customHeight="true" outlineLevel="0" collapsed="false">
      <c r="A4" s="57" t="n">
        <v>45811</v>
      </c>
      <c r="B4" s="1" t="n">
        <v>11</v>
      </c>
      <c r="C4" s="75" t="str">
        <f aca="false">IF(ISBLANK(A4), "--", PROPER(TEXT(A4, "dddd")))</f>
        <v>Tuesday</v>
      </c>
      <c r="D4" s="56" t="s">
        <v>145</v>
      </c>
      <c r="E4" s="56" t="s">
        <v>139</v>
      </c>
      <c r="F4" s="60" t="s">
        <v>847</v>
      </c>
      <c r="G4" s="56" t="s">
        <v>48</v>
      </c>
      <c r="H4" s="56" t="s">
        <v>141</v>
      </c>
      <c r="I4" s="56" t="s">
        <v>21</v>
      </c>
      <c r="J4" s="57" t="n">
        <v>45811</v>
      </c>
      <c r="K4" s="58" t="n">
        <v>1</v>
      </c>
      <c r="L4" s="59" t="n">
        <v>0.00694444444444444</v>
      </c>
      <c r="M4" s="31" t="s">
        <v>848</v>
      </c>
      <c r="N4" s="56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customFormat="false" ht="22.5" hidden="false" customHeight="true" outlineLevel="0" collapsed="false">
      <c r="A5" s="57" t="n">
        <v>45813</v>
      </c>
      <c r="B5" s="1" t="n">
        <v>11</v>
      </c>
      <c r="C5" s="75" t="str">
        <f aca="false">IF(ISBLANK(A5), "--", PROPER(TEXT(A5, "dddd")))</f>
        <v>Thursday</v>
      </c>
      <c r="D5" s="56" t="s">
        <v>16</v>
      </c>
      <c r="E5" s="56" t="s">
        <v>17</v>
      </c>
      <c r="F5" s="60" t="s">
        <v>849</v>
      </c>
      <c r="G5" s="56" t="s">
        <v>19</v>
      </c>
      <c r="H5" s="56" t="s">
        <v>449</v>
      </c>
      <c r="I5" s="56" t="s">
        <v>21</v>
      </c>
      <c r="J5" s="57" t="n">
        <v>45813</v>
      </c>
      <c r="K5" s="58" t="n">
        <v>0.5</v>
      </c>
      <c r="L5" s="59" t="n">
        <v>0.0347222222222222</v>
      </c>
      <c r="M5" s="61" t="s">
        <v>850</v>
      </c>
      <c r="N5" s="56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  <row r="6" customFormat="false" ht="22.5" hidden="false" customHeight="true" outlineLevel="0" collapsed="false">
      <c r="A6" s="57" t="n">
        <v>45813</v>
      </c>
      <c r="B6" s="1" t="n">
        <v>11</v>
      </c>
      <c r="C6" s="75" t="str">
        <f aca="false">IF(ISBLANK(A6), "--", PROPER(TEXT(A6, "dddd")))</f>
        <v>Thursday</v>
      </c>
      <c r="D6" s="56" t="s">
        <v>145</v>
      </c>
      <c r="E6" s="56" t="s">
        <v>139</v>
      </c>
      <c r="F6" s="60" t="s">
        <v>851</v>
      </c>
      <c r="G6" s="56" t="s">
        <v>48</v>
      </c>
      <c r="H6" s="56" t="s">
        <v>141</v>
      </c>
      <c r="I6" s="56" t="s">
        <v>21</v>
      </c>
      <c r="J6" s="57" t="n">
        <v>45813</v>
      </c>
      <c r="K6" s="58" t="n">
        <v>0.5</v>
      </c>
      <c r="L6" s="59" t="n">
        <v>0.00347222222222222</v>
      </c>
      <c r="M6" s="61" t="s">
        <v>852</v>
      </c>
      <c r="N6" s="56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7" customFormat="false" ht="22.5" hidden="false" customHeight="true" outlineLevel="0" collapsed="false">
      <c r="A7" s="57" t="n">
        <v>45813</v>
      </c>
      <c r="B7" s="1" t="n">
        <v>11</v>
      </c>
      <c r="C7" s="75" t="str">
        <f aca="false">IF(ISBLANK(A7), "--", PROPER(TEXT(A7, "dddd")))</f>
        <v>Thursday</v>
      </c>
      <c r="D7" s="56" t="s">
        <v>145</v>
      </c>
      <c r="E7" s="56" t="s">
        <v>139</v>
      </c>
      <c r="F7" s="60" t="s">
        <v>853</v>
      </c>
      <c r="G7" s="56" t="s">
        <v>48</v>
      </c>
      <c r="H7" s="56" t="s">
        <v>141</v>
      </c>
      <c r="I7" s="56" t="s">
        <v>21</v>
      </c>
      <c r="J7" s="57" t="n">
        <v>45819</v>
      </c>
      <c r="K7" s="58" t="n">
        <v>2</v>
      </c>
      <c r="L7" s="59" t="n">
        <v>0.114583333333333</v>
      </c>
      <c r="M7" s="61" t="s">
        <v>854</v>
      </c>
      <c r="N7" s="56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</row>
    <row r="8" customFormat="false" ht="22.5" hidden="false" customHeight="true" outlineLevel="0" collapsed="false">
      <c r="A8" s="57" t="n">
        <v>45813</v>
      </c>
      <c r="B8" s="1" t="n">
        <v>11</v>
      </c>
      <c r="C8" s="75" t="str">
        <f aca="false">IF(ISBLANK(A8), "--", PROPER(TEXT(A8, "dddd")))</f>
        <v>Thursday</v>
      </c>
      <c r="D8" s="56" t="s">
        <v>145</v>
      </c>
      <c r="E8" s="56" t="s">
        <v>139</v>
      </c>
      <c r="F8" s="60" t="s">
        <v>855</v>
      </c>
      <c r="G8" s="56" t="s">
        <v>77</v>
      </c>
      <c r="H8" s="56"/>
      <c r="I8" s="56" t="s">
        <v>21</v>
      </c>
      <c r="J8" s="57" t="n">
        <v>45814</v>
      </c>
      <c r="K8" s="58" t="n">
        <v>2</v>
      </c>
      <c r="L8" s="56" t="n">
        <v>0</v>
      </c>
      <c r="M8" s="61" t="s">
        <v>856</v>
      </c>
      <c r="N8" s="56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customFormat="false" ht="22.5" hidden="false" customHeight="true" outlineLevel="0" collapsed="false">
      <c r="A9" s="57" t="n">
        <v>45813</v>
      </c>
      <c r="B9" s="1" t="n">
        <v>11</v>
      </c>
      <c r="C9" s="75" t="str">
        <f aca="false">IF(ISBLANK(A9), "--", PROPER(TEXT(A9, "dddd")))</f>
        <v>Thursday</v>
      </c>
      <c r="D9" s="56" t="s">
        <v>85</v>
      </c>
      <c r="E9" s="56" t="s">
        <v>17</v>
      </c>
      <c r="F9" s="60" t="s">
        <v>857</v>
      </c>
      <c r="G9" s="56" t="s">
        <v>19</v>
      </c>
      <c r="H9" s="56" t="s">
        <v>74</v>
      </c>
      <c r="I9" s="56" t="s">
        <v>21</v>
      </c>
      <c r="J9" s="57" t="n">
        <v>45817</v>
      </c>
      <c r="K9" s="58" t="n">
        <v>2</v>
      </c>
      <c r="L9" s="59" t="n">
        <v>0.0840277777777778</v>
      </c>
      <c r="M9" s="31" t="s">
        <v>858</v>
      </c>
      <c r="N9" s="56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</row>
    <row r="10" customFormat="false" ht="22.5" hidden="false" customHeight="true" outlineLevel="0" collapsed="false">
      <c r="A10" s="57" t="n">
        <v>45813</v>
      </c>
      <c r="B10" s="1" t="n">
        <v>11</v>
      </c>
      <c r="C10" s="75" t="str">
        <f aca="false">IF(ISBLANK(A10), "--", PROPER(TEXT(A10, "dddd")))</f>
        <v>Thursday</v>
      </c>
      <c r="D10" s="56" t="s">
        <v>145</v>
      </c>
      <c r="E10" s="56" t="s">
        <v>139</v>
      </c>
      <c r="F10" s="60" t="s">
        <v>859</v>
      </c>
      <c r="G10" s="56" t="s">
        <v>19</v>
      </c>
      <c r="H10" s="56" t="s">
        <v>141</v>
      </c>
      <c r="I10" s="56" t="s">
        <v>21</v>
      </c>
      <c r="J10" s="57" t="n">
        <v>45813</v>
      </c>
      <c r="K10" s="58" t="n">
        <v>0.5</v>
      </c>
      <c r="L10" s="59" t="n">
        <v>0.00694444444444444</v>
      </c>
      <c r="M10" s="61" t="s">
        <v>860</v>
      </c>
      <c r="N10" s="56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</row>
    <row r="11" customFormat="false" ht="22.5" hidden="false" customHeight="true" outlineLevel="0" collapsed="false">
      <c r="A11" s="55" t="n">
        <v>45817</v>
      </c>
      <c r="B11" s="1" t="n">
        <v>12</v>
      </c>
      <c r="C11" s="75" t="str">
        <f aca="false">IF(ISBLANK(A11), "--", PROPER(TEXT(A11, "dddd")))</f>
        <v>Monday</v>
      </c>
      <c r="D11" s="56" t="s">
        <v>145</v>
      </c>
      <c r="E11" s="56" t="s">
        <v>139</v>
      </c>
      <c r="F11" s="60" t="s">
        <v>861</v>
      </c>
      <c r="G11" s="56" t="s">
        <v>19</v>
      </c>
      <c r="H11" s="56" t="s">
        <v>141</v>
      </c>
      <c r="I11" s="56" t="s">
        <v>21</v>
      </c>
      <c r="J11" s="57" t="n">
        <v>45817</v>
      </c>
      <c r="K11" s="58" t="n">
        <v>0.5</v>
      </c>
      <c r="L11" s="59" t="n">
        <v>0.00416666666666667</v>
      </c>
      <c r="M11" s="61" t="s">
        <v>862</v>
      </c>
      <c r="N11" s="56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</row>
    <row r="12" customFormat="false" ht="22.5" hidden="false" customHeight="true" outlineLevel="0" collapsed="false">
      <c r="A12" s="63" t="n">
        <v>45817</v>
      </c>
      <c r="B12" s="1" t="n">
        <v>12</v>
      </c>
      <c r="C12" s="75" t="str">
        <f aca="false">IF(ISBLANK(A12), "--", PROPER(TEXT(A12, "dddd")))</f>
        <v>Monday</v>
      </c>
      <c r="D12" s="56" t="s">
        <v>167</v>
      </c>
      <c r="E12" s="56" t="s">
        <v>863</v>
      </c>
      <c r="F12" s="60" t="s">
        <v>864</v>
      </c>
      <c r="G12" s="56" t="s">
        <v>19</v>
      </c>
      <c r="H12" s="56" t="s">
        <v>449</v>
      </c>
      <c r="I12" s="56" t="s">
        <v>21</v>
      </c>
      <c r="J12" s="57" t="n">
        <v>45818</v>
      </c>
      <c r="K12" s="58" t="n">
        <v>2</v>
      </c>
      <c r="L12" s="59" t="n">
        <v>0.121527777777778</v>
      </c>
      <c r="M12" s="61" t="s">
        <v>865</v>
      </c>
      <c r="N12" s="56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</row>
    <row r="13" customFormat="false" ht="22.5" hidden="false" customHeight="true" outlineLevel="0" collapsed="false">
      <c r="A13" s="63" t="n">
        <v>45818</v>
      </c>
      <c r="B13" s="1" t="n">
        <v>12</v>
      </c>
      <c r="C13" s="75" t="str">
        <f aca="false">IF(ISBLANK(A13), "--", PROPER(TEXT(A13, "dddd")))</f>
        <v>Tuesday</v>
      </c>
      <c r="D13" s="56" t="s">
        <v>16</v>
      </c>
      <c r="E13" s="56" t="s">
        <v>17</v>
      </c>
      <c r="F13" s="60" t="s">
        <v>866</v>
      </c>
      <c r="G13" s="56" t="s">
        <v>19</v>
      </c>
      <c r="H13" s="56" t="s">
        <v>449</v>
      </c>
      <c r="I13" s="56" t="s">
        <v>21</v>
      </c>
      <c r="J13" s="57" t="n">
        <v>45818</v>
      </c>
      <c r="K13" s="58" t="n">
        <v>1</v>
      </c>
      <c r="L13" s="59" t="n">
        <v>0.0541666666666667</v>
      </c>
      <c r="M13" s="31" t="s">
        <v>867</v>
      </c>
      <c r="N13" s="56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</row>
    <row r="14" customFormat="false" ht="22.5" hidden="false" customHeight="true" outlineLevel="0" collapsed="false">
      <c r="A14" s="63" t="n">
        <v>45818</v>
      </c>
      <c r="B14" s="1" t="n">
        <v>12</v>
      </c>
      <c r="C14" s="75" t="str">
        <f aca="false">IF(ISBLANK(A14), "--", PROPER(TEXT(A14, "dddd")))</f>
        <v>Tuesday</v>
      </c>
      <c r="D14" s="56" t="s">
        <v>16</v>
      </c>
      <c r="E14" s="56" t="s">
        <v>17</v>
      </c>
      <c r="F14" s="60" t="s">
        <v>868</v>
      </c>
      <c r="G14" s="56" t="s">
        <v>19</v>
      </c>
      <c r="H14" s="56" t="s">
        <v>449</v>
      </c>
      <c r="I14" s="56" t="s">
        <v>21</v>
      </c>
      <c r="J14" s="57" t="n">
        <v>45819</v>
      </c>
      <c r="K14" s="58" t="n">
        <v>1</v>
      </c>
      <c r="L14" s="59" t="n">
        <v>0.0402777777777778</v>
      </c>
      <c r="M14" s="31" t="s">
        <v>869</v>
      </c>
      <c r="N14" s="56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 customFormat="false" ht="22.5" hidden="false" customHeight="true" outlineLevel="0" collapsed="false">
      <c r="A15" s="63" t="n">
        <v>45819</v>
      </c>
      <c r="B15" s="1" t="n">
        <v>12</v>
      </c>
      <c r="C15" s="75" t="str">
        <f aca="false">IF(ISBLANK(A15), "--", PROPER(TEXT(A15, "dddd")))</f>
        <v>Wednesday</v>
      </c>
      <c r="D15" s="56" t="s">
        <v>46</v>
      </c>
      <c r="E15" s="56" t="s">
        <v>17</v>
      </c>
      <c r="F15" s="60" t="s">
        <v>870</v>
      </c>
      <c r="G15" s="56" t="s">
        <v>19</v>
      </c>
      <c r="H15" s="56" t="s">
        <v>20</v>
      </c>
      <c r="I15" s="56" t="s">
        <v>21</v>
      </c>
      <c r="J15" s="57" t="n">
        <v>45820</v>
      </c>
      <c r="K15" s="58" t="n">
        <v>2</v>
      </c>
      <c r="L15" s="59" t="n">
        <v>0.163194444444444</v>
      </c>
      <c r="M15" s="31" t="s">
        <v>871</v>
      </c>
      <c r="N15" s="56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</row>
    <row r="16" customFormat="false" ht="22.5" hidden="false" customHeight="true" outlineLevel="0" collapsed="false">
      <c r="A16" s="63" t="n">
        <v>45819</v>
      </c>
      <c r="B16" s="1" t="n">
        <v>12</v>
      </c>
      <c r="C16" s="75" t="str">
        <f aca="false">IF(ISBLANK(A16), "--", PROPER(TEXT(A16, "dddd")))</f>
        <v>Wednesday</v>
      </c>
      <c r="D16" s="56" t="s">
        <v>145</v>
      </c>
      <c r="E16" s="56" t="s">
        <v>139</v>
      </c>
      <c r="F16" s="60" t="s">
        <v>872</v>
      </c>
      <c r="G16" s="56" t="s">
        <v>19</v>
      </c>
      <c r="H16" s="56" t="s">
        <v>141</v>
      </c>
      <c r="I16" s="56" t="s">
        <v>21</v>
      </c>
      <c r="J16" s="57" t="n">
        <v>45821</v>
      </c>
      <c r="K16" s="58" t="n">
        <v>1</v>
      </c>
      <c r="L16" s="59" t="n">
        <v>0.0645833333333333</v>
      </c>
      <c r="M16" s="31" t="s">
        <v>873</v>
      </c>
      <c r="N16" s="56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</row>
    <row r="17" customFormat="false" ht="22.5" hidden="false" customHeight="true" outlineLevel="0" collapsed="false">
      <c r="A17" s="63" t="n">
        <v>45820</v>
      </c>
      <c r="B17" s="1" t="n">
        <v>12</v>
      </c>
      <c r="C17" s="75" t="str">
        <f aca="false">IF(ISBLANK(A17), "--", PROPER(TEXT(A17, "dddd")))</f>
        <v>Thursday</v>
      </c>
      <c r="D17" s="56" t="s">
        <v>145</v>
      </c>
      <c r="E17" s="56" t="s">
        <v>139</v>
      </c>
      <c r="F17" s="60" t="s">
        <v>874</v>
      </c>
      <c r="G17" s="56" t="s">
        <v>19</v>
      </c>
      <c r="H17" s="56" t="s">
        <v>141</v>
      </c>
      <c r="I17" s="56" t="s">
        <v>21</v>
      </c>
      <c r="J17" s="57" t="n">
        <v>45820</v>
      </c>
      <c r="K17" s="58" t="n">
        <v>1</v>
      </c>
      <c r="L17" s="59" t="n">
        <v>0.0361111111111111</v>
      </c>
      <c r="M17" s="31" t="s">
        <v>875</v>
      </c>
      <c r="N17" s="56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</row>
    <row r="18" customFormat="false" ht="22.5" hidden="false" customHeight="true" outlineLevel="0" collapsed="false">
      <c r="A18" s="63" t="n">
        <v>45820</v>
      </c>
      <c r="B18" s="1" t="n">
        <v>12</v>
      </c>
      <c r="C18" s="75" t="str">
        <f aca="false">IF(ISBLANK(A18), "--", PROPER(TEXT(A18, "dddd")))</f>
        <v>Thursday</v>
      </c>
      <c r="D18" s="56" t="s">
        <v>145</v>
      </c>
      <c r="E18" s="56" t="s">
        <v>139</v>
      </c>
      <c r="F18" s="60" t="s">
        <v>876</v>
      </c>
      <c r="G18" s="56" t="s">
        <v>19</v>
      </c>
      <c r="H18" s="56" t="s">
        <v>141</v>
      </c>
      <c r="I18" s="56" t="s">
        <v>21</v>
      </c>
      <c r="J18" s="57" t="n">
        <v>45821</v>
      </c>
      <c r="K18" s="58" t="n">
        <v>1</v>
      </c>
      <c r="L18" s="59" t="n">
        <v>0.0180555555555556</v>
      </c>
      <c r="M18" s="61" t="s">
        <v>877</v>
      </c>
      <c r="N18" s="56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customFormat="false" ht="22.5" hidden="false" customHeight="true" outlineLevel="0" collapsed="false">
      <c r="A19" s="63" t="n">
        <v>45820</v>
      </c>
      <c r="B19" s="1" t="n">
        <v>12</v>
      </c>
      <c r="C19" s="75" t="str">
        <f aca="false">IF(ISBLANK(A19), "--", PROPER(TEXT(A19, "dddd")))</f>
        <v>Thursday</v>
      </c>
      <c r="D19" s="56" t="s">
        <v>130</v>
      </c>
      <c r="E19" s="56" t="s">
        <v>17</v>
      </c>
      <c r="F19" s="60" t="s">
        <v>878</v>
      </c>
      <c r="G19" s="56" t="s">
        <v>77</v>
      </c>
      <c r="H19" s="56" t="s">
        <v>449</v>
      </c>
      <c r="I19" s="56" t="s">
        <v>21</v>
      </c>
      <c r="J19" s="57" t="n">
        <v>45821</v>
      </c>
      <c r="K19" s="58" t="n">
        <v>0.5</v>
      </c>
      <c r="L19" s="59" t="n">
        <v>0.0159722222222222</v>
      </c>
      <c r="M19" s="61" t="s">
        <v>879</v>
      </c>
      <c r="N19" s="5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</row>
    <row r="20" customFormat="false" ht="22.5" hidden="false" customHeight="true" outlineLevel="0" collapsed="false">
      <c r="A20" s="63" t="n">
        <v>45821</v>
      </c>
      <c r="B20" s="1" t="n">
        <v>12</v>
      </c>
      <c r="C20" s="75" t="str">
        <f aca="false">IF(ISBLANK(A20), "--", PROPER(TEXT(A20, "dddd")))</f>
        <v>Friday</v>
      </c>
      <c r="D20" s="56" t="s">
        <v>130</v>
      </c>
      <c r="E20" s="56" t="s">
        <v>17</v>
      </c>
      <c r="F20" s="60" t="s">
        <v>880</v>
      </c>
      <c r="G20" s="56" t="s">
        <v>19</v>
      </c>
      <c r="H20" s="56" t="s">
        <v>449</v>
      </c>
      <c r="I20" s="56" t="s">
        <v>21</v>
      </c>
      <c r="J20" s="57" t="n">
        <v>45827</v>
      </c>
      <c r="K20" s="58" t="n">
        <v>2</v>
      </c>
      <c r="L20" s="59" t="n">
        <v>0.218055555555556</v>
      </c>
      <c r="M20" s="61" t="s">
        <v>881</v>
      </c>
      <c r="N20" s="56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</row>
    <row r="21" customFormat="false" ht="22.5" hidden="false" customHeight="true" outlineLevel="0" collapsed="false">
      <c r="A21" s="63" t="n">
        <v>45824</v>
      </c>
      <c r="B21" s="1" t="n">
        <v>12</v>
      </c>
      <c r="C21" s="75" t="str">
        <f aca="false">IF(ISBLANK(A21), "--", PROPER(TEXT(A21, "dddd")))</f>
        <v>Monday</v>
      </c>
      <c r="D21" s="56" t="s">
        <v>134</v>
      </c>
      <c r="E21" s="56" t="s">
        <v>17</v>
      </c>
      <c r="F21" s="60" t="s">
        <v>882</v>
      </c>
      <c r="G21" s="56" t="s">
        <v>19</v>
      </c>
      <c r="H21" s="56" t="s">
        <v>449</v>
      </c>
      <c r="I21" s="56" t="s">
        <v>21</v>
      </c>
      <c r="J21" s="57" t="n">
        <v>45824</v>
      </c>
      <c r="K21" s="58" t="n">
        <v>1</v>
      </c>
      <c r="L21" s="59" t="n">
        <v>0.104166666666667</v>
      </c>
      <c r="M21" s="31" t="s">
        <v>883</v>
      </c>
      <c r="N21" s="56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</row>
    <row r="22" customFormat="false" ht="22.5" hidden="false" customHeight="true" outlineLevel="0" collapsed="false">
      <c r="A22" s="63" t="n">
        <v>45824</v>
      </c>
      <c r="B22" s="1" t="n">
        <v>12</v>
      </c>
      <c r="C22" s="75" t="str">
        <f aca="false">IF(ISBLANK(A22), "--", PROPER(TEXT(A22, "dddd")))</f>
        <v>Monday</v>
      </c>
      <c r="D22" s="56" t="s">
        <v>145</v>
      </c>
      <c r="E22" s="56" t="s">
        <v>139</v>
      </c>
      <c r="F22" s="60" t="s">
        <v>884</v>
      </c>
      <c r="G22" s="56" t="s">
        <v>48</v>
      </c>
      <c r="H22" s="56" t="s">
        <v>141</v>
      </c>
      <c r="I22" s="56" t="s">
        <v>21</v>
      </c>
      <c r="J22" s="57" t="n">
        <v>45824</v>
      </c>
      <c r="K22" s="58" t="n">
        <v>0.5</v>
      </c>
      <c r="L22" s="59" t="n">
        <v>0.00416666666666667</v>
      </c>
      <c r="M22" s="31" t="s">
        <v>885</v>
      </c>
      <c r="N22" s="56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  <row r="23" customFormat="false" ht="22.5" hidden="false" customHeight="true" outlineLevel="0" collapsed="false">
      <c r="A23" s="63" t="n">
        <v>45825</v>
      </c>
      <c r="B23" s="1" t="n">
        <v>12</v>
      </c>
      <c r="C23" s="75" t="str">
        <f aca="false">IF(ISBLANK(A23), "--", PROPER(TEXT(A23, "dddd")))</f>
        <v>Tuesday</v>
      </c>
      <c r="D23" s="56" t="s">
        <v>145</v>
      </c>
      <c r="E23" s="56" t="s">
        <v>139</v>
      </c>
      <c r="F23" s="60" t="s">
        <v>886</v>
      </c>
      <c r="G23" s="56" t="s">
        <v>19</v>
      </c>
      <c r="H23" s="56" t="s">
        <v>141</v>
      </c>
      <c r="I23" s="56" t="s">
        <v>21</v>
      </c>
      <c r="J23" s="57" t="n">
        <v>45825</v>
      </c>
      <c r="K23" s="58" t="n">
        <v>0.5</v>
      </c>
      <c r="L23" s="59" t="n">
        <v>0.0131944444444444</v>
      </c>
      <c r="M23" s="61" t="s">
        <v>887</v>
      </c>
      <c r="N23" s="56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</row>
    <row r="24" customFormat="false" ht="22.5" hidden="false" customHeight="true" outlineLevel="0" collapsed="false">
      <c r="A24" s="63" t="n">
        <v>45826</v>
      </c>
      <c r="B24" s="1" t="n">
        <v>12</v>
      </c>
      <c r="C24" s="75" t="str">
        <f aca="false">IF(ISBLANK(A24), "--", PROPER(TEXT(A24, "dddd")))</f>
        <v>Wednesday</v>
      </c>
      <c r="D24" s="56" t="s">
        <v>16</v>
      </c>
      <c r="E24" s="56" t="s">
        <v>17</v>
      </c>
      <c r="F24" s="60" t="s">
        <v>888</v>
      </c>
      <c r="G24" s="56" t="s">
        <v>19</v>
      </c>
      <c r="H24" s="56" t="s">
        <v>449</v>
      </c>
      <c r="I24" s="56" t="s">
        <v>21</v>
      </c>
      <c r="J24" s="57" t="n">
        <v>45826</v>
      </c>
      <c r="K24" s="58" t="n">
        <v>1</v>
      </c>
      <c r="L24" s="59" t="n">
        <v>0.0388888888888889</v>
      </c>
      <c r="M24" s="31" t="s">
        <v>889</v>
      </c>
      <c r="N24" s="56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customFormat="false" ht="22.5" hidden="false" customHeight="true" outlineLevel="0" collapsed="false">
      <c r="A25" s="63" t="n">
        <v>45826</v>
      </c>
      <c r="B25" s="1" t="n">
        <v>12</v>
      </c>
      <c r="C25" s="75" t="str">
        <f aca="false">IF(ISBLANK(A25), "--", PROPER(TEXT(A25, "dddd")))</f>
        <v>Wednesday</v>
      </c>
      <c r="D25" s="56" t="s">
        <v>167</v>
      </c>
      <c r="E25" s="56" t="s">
        <v>17</v>
      </c>
      <c r="F25" s="60" t="s">
        <v>890</v>
      </c>
      <c r="G25" s="56" t="s">
        <v>19</v>
      </c>
      <c r="H25" s="56" t="s">
        <v>449</v>
      </c>
      <c r="I25" s="56" t="s">
        <v>21</v>
      </c>
      <c r="J25" s="57" t="n">
        <v>45827</v>
      </c>
      <c r="K25" s="58" t="n">
        <v>1</v>
      </c>
      <c r="L25" s="59" t="n">
        <v>0.169444444444444</v>
      </c>
      <c r="M25" s="31" t="s">
        <v>891</v>
      </c>
      <c r="N25" s="56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customFormat="false" ht="22.5" hidden="false" customHeight="true" outlineLevel="0" collapsed="false">
      <c r="A26" s="63" t="n">
        <v>45826</v>
      </c>
      <c r="B26" s="1" t="n">
        <v>12</v>
      </c>
      <c r="C26" s="75" t="str">
        <f aca="false">IF(ISBLANK(A26), "--", PROPER(TEXT(A26, "dddd")))</f>
        <v>Wednesday</v>
      </c>
      <c r="D26" s="56" t="s">
        <v>145</v>
      </c>
      <c r="E26" s="56" t="s">
        <v>139</v>
      </c>
      <c r="F26" s="60" t="s">
        <v>892</v>
      </c>
      <c r="G26" s="56" t="s">
        <v>19</v>
      </c>
      <c r="H26" s="56" t="s">
        <v>141</v>
      </c>
      <c r="I26" s="56" t="s">
        <v>21</v>
      </c>
      <c r="J26" s="57" t="n">
        <v>45827</v>
      </c>
      <c r="K26" s="58" t="n">
        <v>3</v>
      </c>
      <c r="L26" s="59" t="n">
        <v>0.05625</v>
      </c>
      <c r="M26" s="31" t="s">
        <v>893</v>
      </c>
      <c r="N26" s="56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customFormat="false" ht="22.5" hidden="false" customHeight="true" outlineLevel="0" collapsed="false">
      <c r="A27" s="63" t="n">
        <v>45826</v>
      </c>
      <c r="B27" s="1" t="n">
        <v>12</v>
      </c>
      <c r="C27" s="75" t="str">
        <f aca="false">IF(ISBLANK(A27), "--", PROPER(TEXT(A27, "dddd")))</f>
        <v>Wednesday</v>
      </c>
      <c r="D27" s="56" t="s">
        <v>16</v>
      </c>
      <c r="E27" s="56" t="s">
        <v>17</v>
      </c>
      <c r="F27" s="60" t="s">
        <v>894</v>
      </c>
      <c r="G27" s="56" t="s">
        <v>19</v>
      </c>
      <c r="H27" s="56" t="s">
        <v>449</v>
      </c>
      <c r="I27" s="56" t="s">
        <v>21</v>
      </c>
      <c r="J27" s="57" t="n">
        <v>45827</v>
      </c>
      <c r="K27" s="58" t="n">
        <v>2</v>
      </c>
      <c r="L27" s="59" t="n">
        <v>0.0833333333333333</v>
      </c>
      <c r="M27" s="31" t="s">
        <v>895</v>
      </c>
      <c r="N27" s="56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</row>
    <row r="28" customFormat="false" ht="22.5" hidden="false" customHeight="true" outlineLevel="0" collapsed="false">
      <c r="A28" s="63" t="n">
        <v>45826</v>
      </c>
      <c r="B28" s="1" t="n">
        <v>12</v>
      </c>
      <c r="C28" s="75" t="str">
        <f aca="false">IF(ISBLANK(A28), "--", PROPER(TEXT(A28, "dddd")))</f>
        <v>Wednesday</v>
      </c>
      <c r="D28" s="56" t="s">
        <v>16</v>
      </c>
      <c r="E28" s="56" t="s">
        <v>17</v>
      </c>
      <c r="F28" s="60" t="s">
        <v>896</v>
      </c>
      <c r="G28" s="56" t="s">
        <v>19</v>
      </c>
      <c r="H28" s="56" t="s">
        <v>449</v>
      </c>
      <c r="I28" s="56" t="s">
        <v>21</v>
      </c>
      <c r="J28" s="57" t="n">
        <v>45827</v>
      </c>
      <c r="K28" s="58" t="n">
        <v>0.5</v>
      </c>
      <c r="L28" s="59" t="n">
        <v>0.00833333333333333</v>
      </c>
      <c r="M28" s="61" t="s">
        <v>897</v>
      </c>
      <c r="N28" s="56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</row>
    <row r="29" customFormat="false" ht="22.5" hidden="false" customHeight="true" outlineLevel="0" collapsed="false">
      <c r="A29" s="63" t="n">
        <v>45827</v>
      </c>
      <c r="B29" s="1" t="n">
        <v>12</v>
      </c>
      <c r="C29" s="75" t="str">
        <f aca="false">IF(ISBLANK(A29), "--", PROPER(TEXT(A29, "dddd")))</f>
        <v>Thursday</v>
      </c>
      <c r="D29" s="56" t="s">
        <v>16</v>
      </c>
      <c r="E29" s="56" t="s">
        <v>17</v>
      </c>
      <c r="F29" s="60" t="s">
        <v>898</v>
      </c>
      <c r="G29" s="56" t="s">
        <v>19</v>
      </c>
      <c r="H29" s="56" t="s">
        <v>449</v>
      </c>
      <c r="I29" s="56" t="s">
        <v>21</v>
      </c>
      <c r="J29" s="57" t="n">
        <v>45827</v>
      </c>
      <c r="K29" s="58" t="n">
        <v>1</v>
      </c>
      <c r="L29" s="59" t="n">
        <v>0.0534722222222222</v>
      </c>
      <c r="M29" s="31" t="s">
        <v>899</v>
      </c>
      <c r="N29" s="5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</row>
    <row r="30" customFormat="false" ht="22.5" hidden="false" customHeight="true" outlineLevel="0" collapsed="false">
      <c r="A30" s="63" t="n">
        <v>45827</v>
      </c>
      <c r="B30" s="1" t="n">
        <v>12</v>
      </c>
      <c r="C30" s="75" t="str">
        <f aca="false">IF(ISBLANK(A30), "--", PROPER(TEXT(A30, "dddd")))</f>
        <v>Thursday</v>
      </c>
      <c r="D30" s="56" t="s">
        <v>130</v>
      </c>
      <c r="E30" s="56" t="s">
        <v>17</v>
      </c>
      <c r="F30" s="60" t="s">
        <v>900</v>
      </c>
      <c r="G30" s="56" t="s">
        <v>77</v>
      </c>
      <c r="H30" s="56" t="s">
        <v>449</v>
      </c>
      <c r="I30" s="56" t="s">
        <v>21</v>
      </c>
      <c r="J30" s="57" t="n">
        <v>45827</v>
      </c>
      <c r="K30" s="58" t="n">
        <v>2</v>
      </c>
      <c r="L30" s="59" t="n">
        <v>0.0659722222222222</v>
      </c>
      <c r="M30" s="61" t="s">
        <v>901</v>
      </c>
      <c r="N30" s="56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customFormat="false" ht="22.5" hidden="false" customHeight="true" outlineLevel="0" collapsed="false">
      <c r="A31" s="63" t="n">
        <v>45827</v>
      </c>
      <c r="B31" s="1" t="n">
        <v>12</v>
      </c>
      <c r="C31" s="75" t="str">
        <f aca="false">IF(ISBLANK(A31), "--", PROPER(TEXT(A31, "dddd")))</f>
        <v>Thursday</v>
      </c>
      <c r="D31" s="56" t="s">
        <v>145</v>
      </c>
      <c r="E31" s="56" t="s">
        <v>139</v>
      </c>
      <c r="F31" s="60" t="s">
        <v>902</v>
      </c>
      <c r="G31" s="56" t="s">
        <v>19</v>
      </c>
      <c r="H31" s="56" t="s">
        <v>141</v>
      </c>
      <c r="I31" s="56" t="s">
        <v>21</v>
      </c>
      <c r="J31" s="57" t="n">
        <v>45827</v>
      </c>
      <c r="K31" s="58" t="n">
        <v>1</v>
      </c>
      <c r="L31" s="59" t="n">
        <v>0.0298611111111111</v>
      </c>
      <c r="M31" s="31" t="s">
        <v>903</v>
      </c>
      <c r="N31" s="5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customFormat="false" ht="22.5" hidden="false" customHeight="true" outlineLevel="0" collapsed="false">
      <c r="A32" s="63" t="n">
        <v>45828</v>
      </c>
      <c r="B32" s="1" t="n">
        <v>12</v>
      </c>
      <c r="C32" s="75" t="str">
        <f aca="false">IF(ISBLANK(A32), "--", PROPER(TEXT(A32, "dddd")))</f>
        <v>Friday</v>
      </c>
      <c r="D32" s="56" t="s">
        <v>16</v>
      </c>
      <c r="E32" s="56" t="s">
        <v>17</v>
      </c>
      <c r="F32" s="60" t="s">
        <v>904</v>
      </c>
      <c r="G32" s="56" t="s">
        <v>19</v>
      </c>
      <c r="H32" s="56" t="s">
        <v>449</v>
      </c>
      <c r="I32" s="56" t="s">
        <v>21</v>
      </c>
      <c r="J32" s="57" t="n">
        <v>45828</v>
      </c>
      <c r="K32" s="58" t="n">
        <v>1</v>
      </c>
      <c r="L32" s="59" t="n">
        <v>0.0493055555555556</v>
      </c>
      <c r="M32" s="61" t="s">
        <v>905</v>
      </c>
      <c r="N32" s="5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customFormat="false" ht="22.5" hidden="false" customHeight="true" outlineLevel="0" collapsed="false">
      <c r="A33" s="63" t="n">
        <v>45828</v>
      </c>
      <c r="B33" s="1" t="n">
        <v>12</v>
      </c>
      <c r="C33" s="75" t="str">
        <f aca="false">IF(ISBLANK(A33), "--", PROPER(TEXT(A33, "dddd")))</f>
        <v>Friday</v>
      </c>
      <c r="D33" s="56" t="s">
        <v>16</v>
      </c>
      <c r="E33" s="56" t="s">
        <v>17</v>
      </c>
      <c r="F33" s="60" t="s">
        <v>906</v>
      </c>
      <c r="G33" s="56" t="s">
        <v>19</v>
      </c>
      <c r="H33" s="56" t="s">
        <v>449</v>
      </c>
      <c r="I33" s="56" t="s">
        <v>21</v>
      </c>
      <c r="J33" s="57" t="n">
        <v>45828</v>
      </c>
      <c r="K33" s="58" t="n">
        <v>1</v>
      </c>
      <c r="L33" s="59" t="n">
        <v>0.0118055555555556</v>
      </c>
      <c r="M33" s="31" t="s">
        <v>907</v>
      </c>
      <c r="N33" s="5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customFormat="false" ht="22.5" hidden="false" customHeight="true" outlineLevel="0" collapsed="false">
      <c r="A34" s="63" t="n">
        <v>45828</v>
      </c>
      <c r="B34" s="1" t="n">
        <v>12</v>
      </c>
      <c r="C34" s="75" t="str">
        <f aca="false">IF(ISBLANK(A34), "--", PROPER(TEXT(A34, "dddd")))</f>
        <v>Friday</v>
      </c>
      <c r="D34" s="56" t="s">
        <v>134</v>
      </c>
      <c r="E34" s="56" t="s">
        <v>17</v>
      </c>
      <c r="F34" s="60" t="s">
        <v>908</v>
      </c>
      <c r="G34" s="56" t="s">
        <v>19</v>
      </c>
      <c r="H34" s="56" t="s">
        <v>70</v>
      </c>
      <c r="I34" s="56" t="s">
        <v>21</v>
      </c>
      <c r="J34" s="57" t="n">
        <v>45832</v>
      </c>
      <c r="K34" s="58" t="n">
        <v>1</v>
      </c>
      <c r="L34" s="59" t="n">
        <v>0.0166666666666667</v>
      </c>
      <c r="M34" s="31" t="s">
        <v>909</v>
      </c>
      <c r="N34" s="5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customFormat="false" ht="22.5" hidden="false" customHeight="true" outlineLevel="0" collapsed="false">
      <c r="A35" s="77" t="n">
        <v>45832</v>
      </c>
      <c r="B35" s="1" t="n">
        <v>13</v>
      </c>
      <c r="C35" s="75" t="str">
        <f aca="false">IF(ISBLANK(A35), "--", PROPER(TEXT(A35, "dddd")))</f>
        <v>Tuesday</v>
      </c>
      <c r="D35" s="56" t="s">
        <v>16</v>
      </c>
      <c r="E35" s="56" t="s">
        <v>17</v>
      </c>
      <c r="F35" s="60" t="s">
        <v>910</v>
      </c>
      <c r="G35" s="56" t="s">
        <v>19</v>
      </c>
      <c r="H35" s="56" t="s">
        <v>449</v>
      </c>
      <c r="I35" s="56" t="s">
        <v>21</v>
      </c>
      <c r="J35" s="57" t="n">
        <v>45833</v>
      </c>
      <c r="K35" s="58" t="n">
        <v>1</v>
      </c>
      <c r="L35" s="59" t="n">
        <v>0.0326388888888889</v>
      </c>
      <c r="M35" s="31" t="s">
        <v>911</v>
      </c>
      <c r="N35" s="5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customFormat="false" ht="22.5" hidden="false" customHeight="true" outlineLevel="0" collapsed="false">
      <c r="A36" s="63" t="n">
        <v>45832</v>
      </c>
      <c r="B36" s="1" t="n">
        <v>13</v>
      </c>
      <c r="C36" s="75" t="str">
        <f aca="false">IF(ISBLANK(A36), "--", PROPER(TEXT(A36, "dddd")))</f>
        <v>Tuesday</v>
      </c>
      <c r="D36" s="56" t="s">
        <v>16</v>
      </c>
      <c r="E36" s="56" t="s">
        <v>17</v>
      </c>
      <c r="F36" s="60" t="s">
        <v>912</v>
      </c>
      <c r="G36" s="56" t="s">
        <v>19</v>
      </c>
      <c r="H36" s="56" t="s">
        <v>449</v>
      </c>
      <c r="I36" s="56" t="s">
        <v>21</v>
      </c>
      <c r="J36" s="57" t="n">
        <v>45833</v>
      </c>
      <c r="K36" s="58" t="n">
        <v>0.5</v>
      </c>
      <c r="L36" s="59" t="n">
        <v>0.0173611111111111</v>
      </c>
      <c r="M36" s="31" t="s">
        <v>913</v>
      </c>
      <c r="N36" s="5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customFormat="false" ht="22.5" hidden="false" customHeight="true" outlineLevel="0" collapsed="false">
      <c r="A37" s="63" t="n">
        <v>45831</v>
      </c>
      <c r="B37" s="1" t="n">
        <v>13</v>
      </c>
      <c r="C37" s="75" t="str">
        <f aca="false">IF(ISBLANK(A37), "--", PROPER(TEXT(A37, "dddd")))</f>
        <v>Monday</v>
      </c>
      <c r="D37" s="56" t="s">
        <v>134</v>
      </c>
      <c r="E37" s="56" t="s">
        <v>17</v>
      </c>
      <c r="F37" s="60" t="s">
        <v>914</v>
      </c>
      <c r="G37" s="56" t="s">
        <v>19</v>
      </c>
      <c r="H37" s="56" t="s">
        <v>449</v>
      </c>
      <c r="I37" s="56" t="s">
        <v>21</v>
      </c>
      <c r="J37" s="57" t="n">
        <v>45832</v>
      </c>
      <c r="K37" s="58" t="n">
        <v>1</v>
      </c>
      <c r="L37" s="59" t="n">
        <v>0.0527777777777778</v>
      </c>
      <c r="M37" s="61" t="s">
        <v>915</v>
      </c>
      <c r="N37" s="5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customFormat="false" ht="22.5" hidden="false" customHeight="true" outlineLevel="0" collapsed="false">
      <c r="A38" s="63" t="n">
        <v>45831</v>
      </c>
      <c r="B38" s="1" t="n">
        <v>13</v>
      </c>
      <c r="C38" s="75" t="str">
        <f aca="false">IF(ISBLANK(A38), "--", PROPER(TEXT(A38, "dddd")))</f>
        <v>Monday</v>
      </c>
      <c r="D38" s="56" t="s">
        <v>156</v>
      </c>
      <c r="E38" s="56" t="s">
        <v>17</v>
      </c>
      <c r="F38" s="60" t="s">
        <v>916</v>
      </c>
      <c r="G38" s="56" t="s">
        <v>19</v>
      </c>
      <c r="H38" s="56" t="s">
        <v>449</v>
      </c>
      <c r="I38" s="56" t="s">
        <v>21</v>
      </c>
      <c r="J38" s="57" t="n">
        <v>45833</v>
      </c>
      <c r="K38" s="58" t="n">
        <v>2</v>
      </c>
      <c r="L38" s="59" t="n">
        <v>0.145138888888889</v>
      </c>
      <c r="M38" s="31" t="s">
        <v>917</v>
      </c>
      <c r="N38" s="5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customFormat="false" ht="22.5" hidden="false" customHeight="true" outlineLevel="0" collapsed="false">
      <c r="A39" s="63" t="n">
        <v>45832</v>
      </c>
      <c r="B39" s="1" t="n">
        <v>13</v>
      </c>
      <c r="C39" s="75" t="str">
        <f aca="false">IF(ISBLANK(A39), "--", PROPER(TEXT(A39, "dddd")))</f>
        <v>Tuesday</v>
      </c>
      <c r="D39" s="56" t="s">
        <v>145</v>
      </c>
      <c r="E39" s="56" t="s">
        <v>139</v>
      </c>
      <c r="F39" s="60" t="s">
        <v>918</v>
      </c>
      <c r="G39" s="56" t="s">
        <v>48</v>
      </c>
      <c r="H39" s="56" t="s">
        <v>141</v>
      </c>
      <c r="I39" s="56" t="s">
        <v>21</v>
      </c>
      <c r="J39" s="57" t="n">
        <v>45832</v>
      </c>
      <c r="K39" s="58" t="n">
        <v>1</v>
      </c>
      <c r="L39" s="59" t="n">
        <v>0.0145833333333333</v>
      </c>
      <c r="M39" s="31" t="s">
        <v>919</v>
      </c>
      <c r="N39" s="5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customFormat="false" ht="22.5" hidden="false" customHeight="true" outlineLevel="0" collapsed="false">
      <c r="A40" s="63" t="n">
        <v>45833</v>
      </c>
      <c r="B40" s="1" t="n">
        <v>13</v>
      </c>
      <c r="C40" s="75" t="str">
        <f aca="false">IF(ISBLANK(A40), "--", PROPER(TEXT(A40, "dddd")))</f>
        <v>Wednesday</v>
      </c>
      <c r="D40" s="56" t="s">
        <v>16</v>
      </c>
      <c r="E40" s="56" t="s">
        <v>17</v>
      </c>
      <c r="F40" s="60" t="s">
        <v>920</v>
      </c>
      <c r="G40" s="56" t="s">
        <v>19</v>
      </c>
      <c r="H40" s="56" t="s">
        <v>449</v>
      </c>
      <c r="I40" s="56" t="s">
        <v>21</v>
      </c>
      <c r="J40" s="57" t="n">
        <v>45834</v>
      </c>
      <c r="K40" s="58" t="n">
        <v>3</v>
      </c>
      <c r="L40" s="76" t="n">
        <v>0.155555555555556</v>
      </c>
      <c r="M40" s="31" t="s">
        <v>921</v>
      </c>
      <c r="N40" s="5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customFormat="false" ht="22.5" hidden="false" customHeight="true" outlineLevel="0" collapsed="false">
      <c r="A41" s="63" t="n">
        <v>45833</v>
      </c>
      <c r="B41" s="1" t="n">
        <v>13</v>
      </c>
      <c r="C41" s="75" t="str">
        <f aca="false">IF(ISBLANK(A41), "--", PROPER(TEXT(A41, "dddd")))</f>
        <v>Wednesday</v>
      </c>
      <c r="D41" s="56" t="s">
        <v>145</v>
      </c>
      <c r="E41" s="56" t="s">
        <v>139</v>
      </c>
      <c r="F41" s="60" t="s">
        <v>922</v>
      </c>
      <c r="G41" s="56" t="s">
        <v>19</v>
      </c>
      <c r="H41" s="56" t="s">
        <v>141</v>
      </c>
      <c r="I41" s="56" t="s">
        <v>21</v>
      </c>
      <c r="J41" s="57" t="n">
        <v>45833</v>
      </c>
      <c r="K41" s="58" t="n">
        <v>0.5</v>
      </c>
      <c r="L41" s="59" t="n">
        <v>0.0208333333333333</v>
      </c>
      <c r="M41" s="61" t="s">
        <v>923</v>
      </c>
      <c r="N41" s="5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customFormat="false" ht="22.5" hidden="false" customHeight="true" outlineLevel="0" collapsed="false">
      <c r="A42" s="63" t="n">
        <v>45834</v>
      </c>
      <c r="B42" s="1" t="n">
        <v>13</v>
      </c>
      <c r="C42" s="75" t="str">
        <f aca="false">IF(ISBLANK(A42), "--", PROPER(TEXT(A42, "dddd")))</f>
        <v>Thursday</v>
      </c>
      <c r="D42" s="56" t="s">
        <v>16</v>
      </c>
      <c r="E42" s="56" t="s">
        <v>17</v>
      </c>
      <c r="F42" s="60" t="s">
        <v>924</v>
      </c>
      <c r="G42" s="56" t="s">
        <v>19</v>
      </c>
      <c r="H42" s="56" t="s">
        <v>449</v>
      </c>
      <c r="I42" s="56" t="s">
        <v>21</v>
      </c>
      <c r="J42" s="57" t="n">
        <v>45834</v>
      </c>
      <c r="K42" s="58" t="n">
        <v>1</v>
      </c>
      <c r="L42" s="59" t="n">
        <v>0.0166666666666667</v>
      </c>
      <c r="M42" s="61" t="s">
        <v>925</v>
      </c>
      <c r="N42" s="5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customFormat="false" ht="22.5" hidden="false" customHeight="true" outlineLevel="0" collapsed="false">
      <c r="A43" s="63" t="n">
        <v>45834</v>
      </c>
      <c r="B43" s="1" t="n">
        <v>13</v>
      </c>
      <c r="C43" s="75" t="str">
        <f aca="false">IF(ISBLANK(A43), "--", PROPER(TEXT(A43, "dddd")))</f>
        <v>Thursday</v>
      </c>
      <c r="D43" s="56" t="s">
        <v>16</v>
      </c>
      <c r="E43" s="56" t="s">
        <v>17</v>
      </c>
      <c r="F43" s="60" t="s">
        <v>926</v>
      </c>
      <c r="G43" s="56" t="s">
        <v>19</v>
      </c>
      <c r="H43" s="56" t="s">
        <v>449</v>
      </c>
      <c r="I43" s="56" t="s">
        <v>21</v>
      </c>
      <c r="J43" s="57" t="n">
        <v>45834</v>
      </c>
      <c r="K43" s="58" t="n">
        <v>1</v>
      </c>
      <c r="L43" s="59" t="n">
        <v>0.04375</v>
      </c>
      <c r="M43" s="61" t="s">
        <v>927</v>
      </c>
      <c r="N43" s="5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customFormat="false" ht="22.5" hidden="false" customHeight="true" outlineLevel="0" collapsed="false">
      <c r="A44" s="63" t="n">
        <v>45834</v>
      </c>
      <c r="B44" s="1" t="n">
        <v>13</v>
      </c>
      <c r="C44" s="75" t="str">
        <f aca="false">IF(ISBLANK(A44), "--", PROPER(TEXT(A44, "dddd")))</f>
        <v>Thursday</v>
      </c>
      <c r="D44" s="56" t="s">
        <v>145</v>
      </c>
      <c r="E44" s="56" t="s">
        <v>139</v>
      </c>
      <c r="F44" s="60" t="s">
        <v>928</v>
      </c>
      <c r="G44" s="56" t="s">
        <v>19</v>
      </c>
      <c r="H44" s="56" t="s">
        <v>141</v>
      </c>
      <c r="I44" s="56" t="s">
        <v>21</v>
      </c>
      <c r="J44" s="57" t="n">
        <v>45834</v>
      </c>
      <c r="K44" s="58" t="n">
        <v>0.5</v>
      </c>
      <c r="L44" s="59" t="n">
        <v>0.01875</v>
      </c>
      <c r="M44" s="61" t="s">
        <v>929</v>
      </c>
      <c r="N44" s="5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customFormat="false" ht="22.5" hidden="false" customHeight="true" outlineLevel="0" collapsed="false">
      <c r="A45" s="63" t="n">
        <v>45835</v>
      </c>
      <c r="B45" s="1" t="n">
        <v>13</v>
      </c>
      <c r="C45" s="75" t="str">
        <f aca="false">IF(ISBLANK(A45), "--", PROPER(TEXT(A45, "dddd")))</f>
        <v>Friday</v>
      </c>
      <c r="D45" s="56" t="s">
        <v>16</v>
      </c>
      <c r="E45" s="56" t="s">
        <v>17</v>
      </c>
      <c r="F45" s="60" t="s">
        <v>930</v>
      </c>
      <c r="G45" s="56" t="s">
        <v>19</v>
      </c>
      <c r="H45" s="56" t="s">
        <v>449</v>
      </c>
      <c r="I45" s="56" t="s">
        <v>21</v>
      </c>
      <c r="J45" s="57" t="n">
        <v>45835</v>
      </c>
      <c r="K45" s="58" t="n">
        <v>1</v>
      </c>
      <c r="L45" s="59" t="n">
        <v>0.0215277777777778</v>
      </c>
      <c r="M45" s="82" t="s">
        <v>931</v>
      </c>
      <c r="N45" s="5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customFormat="false" ht="22.5" hidden="false" customHeight="true" outlineLevel="0" collapsed="false">
      <c r="A46" s="63" t="n">
        <v>45835</v>
      </c>
      <c r="B46" s="1" t="n">
        <v>13</v>
      </c>
      <c r="C46" s="75" t="str">
        <f aca="false">IF(ISBLANK(A46), "--", PROPER(TEXT(A46, "dddd")))</f>
        <v>Friday</v>
      </c>
      <c r="D46" s="56" t="s">
        <v>156</v>
      </c>
      <c r="E46" s="56" t="s">
        <v>17</v>
      </c>
      <c r="F46" s="60" t="s">
        <v>932</v>
      </c>
      <c r="G46" s="56" t="s">
        <v>77</v>
      </c>
      <c r="H46" s="56" t="s">
        <v>53</v>
      </c>
      <c r="I46" s="56" t="s">
        <v>21</v>
      </c>
      <c r="J46" s="57" t="n">
        <v>45835</v>
      </c>
      <c r="K46" s="58" t="n">
        <v>2</v>
      </c>
      <c r="L46" s="59" t="n">
        <v>0.1</v>
      </c>
      <c r="M46" s="31" t="s">
        <v>933</v>
      </c>
      <c r="N46" s="5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customFormat="false" ht="22.5" hidden="false" customHeight="true" outlineLevel="0" collapsed="false">
      <c r="A47" s="63" t="n">
        <v>45835</v>
      </c>
      <c r="B47" s="1" t="n">
        <v>13</v>
      </c>
      <c r="C47" s="75" t="str">
        <f aca="false">IF(ISBLANK(A47), "--", PROPER(TEXT(A47, "dddd")))</f>
        <v>Friday</v>
      </c>
      <c r="D47" s="56" t="s">
        <v>145</v>
      </c>
      <c r="E47" s="56" t="s">
        <v>139</v>
      </c>
      <c r="F47" s="60" t="s">
        <v>934</v>
      </c>
      <c r="G47" s="56" t="s">
        <v>19</v>
      </c>
      <c r="H47" s="56" t="s">
        <v>141</v>
      </c>
      <c r="I47" s="56" t="s">
        <v>21</v>
      </c>
      <c r="J47" s="57" t="n">
        <v>45835</v>
      </c>
      <c r="K47" s="58" t="n">
        <v>0.5</v>
      </c>
      <c r="L47" s="59" t="n">
        <v>0.0125</v>
      </c>
      <c r="M47" s="31" t="s">
        <v>935</v>
      </c>
      <c r="N47" s="5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customFormat="false" ht="22.5" hidden="false" customHeight="true" outlineLevel="0" collapsed="false">
      <c r="A48" s="63" t="n">
        <v>45835</v>
      </c>
      <c r="B48" s="1" t="n">
        <v>13</v>
      </c>
      <c r="C48" s="75" t="str">
        <f aca="false">IF(ISBLANK(A48), "--", PROPER(TEXT(A48, "dddd")))</f>
        <v>Friday</v>
      </c>
      <c r="D48" s="56" t="s">
        <v>16</v>
      </c>
      <c r="E48" s="56" t="s">
        <v>17</v>
      </c>
      <c r="F48" s="60" t="s">
        <v>936</v>
      </c>
      <c r="G48" s="56" t="s">
        <v>19</v>
      </c>
      <c r="H48" s="56" t="s">
        <v>449</v>
      </c>
      <c r="I48" s="56" t="s">
        <v>21</v>
      </c>
      <c r="J48" s="57" t="n">
        <v>45835</v>
      </c>
      <c r="K48" s="58" t="n">
        <v>2</v>
      </c>
      <c r="L48" s="59" t="n">
        <v>0.0604166666666667</v>
      </c>
      <c r="M48" s="31" t="s">
        <v>937</v>
      </c>
      <c r="N48" s="5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customFormat="false" ht="22.5" hidden="false" customHeight="true" outlineLevel="0" collapsed="false">
      <c r="A49" s="63" t="n">
        <v>45835</v>
      </c>
      <c r="B49" s="1" t="n">
        <v>13</v>
      </c>
      <c r="C49" s="75" t="str">
        <f aca="false">IF(ISBLANK(A49), "--", PROPER(TEXT(A49, "dddd")))</f>
        <v>Friday</v>
      </c>
      <c r="D49" s="56" t="s">
        <v>156</v>
      </c>
      <c r="E49" s="56" t="s">
        <v>17</v>
      </c>
      <c r="F49" s="60" t="s">
        <v>938</v>
      </c>
      <c r="G49" s="56" t="s">
        <v>77</v>
      </c>
      <c r="H49" s="56" t="s">
        <v>53</v>
      </c>
      <c r="I49" s="56" t="s">
        <v>21</v>
      </c>
      <c r="J49" s="57" t="n">
        <v>45835</v>
      </c>
      <c r="K49" s="58" t="n">
        <v>5</v>
      </c>
      <c r="L49" s="59" t="n">
        <v>0.211111111111111</v>
      </c>
      <c r="M49" s="31" t="s">
        <v>939</v>
      </c>
      <c r="N49" s="5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customFormat="false" ht="22.5" hidden="false" customHeight="true" outlineLevel="0" collapsed="false">
      <c r="A50" s="63" t="n">
        <v>45835</v>
      </c>
      <c r="B50" s="1" t="n">
        <v>13</v>
      </c>
      <c r="C50" s="75" t="str">
        <f aca="false">IF(ISBLANK(A50), "--", PROPER(TEXT(A50, "dddd")))</f>
        <v>Friday</v>
      </c>
      <c r="D50" s="56" t="s">
        <v>16</v>
      </c>
      <c r="E50" s="56" t="s">
        <v>17</v>
      </c>
      <c r="F50" s="60" t="s">
        <v>940</v>
      </c>
      <c r="G50" s="56" t="s">
        <v>19</v>
      </c>
      <c r="H50" s="56" t="s">
        <v>449</v>
      </c>
      <c r="I50" s="56" t="s">
        <v>21</v>
      </c>
      <c r="J50" s="57" t="n">
        <v>45835</v>
      </c>
      <c r="K50" s="58" t="n">
        <v>2</v>
      </c>
      <c r="L50" s="59" t="n">
        <v>0.0590277777777778</v>
      </c>
      <c r="M50" s="31" t="s">
        <v>941</v>
      </c>
      <c r="N50" s="5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</row>
    <row r="51" customFormat="false" ht="22.5" hidden="false" customHeight="true" outlineLevel="0" collapsed="false">
      <c r="A51" s="63" t="n">
        <v>45835</v>
      </c>
      <c r="B51" s="1" t="n">
        <v>13</v>
      </c>
      <c r="C51" s="75" t="str">
        <f aca="false">IF(ISBLANK(A51), "--", PROPER(TEXT(A51, "dddd")))</f>
        <v>Friday</v>
      </c>
      <c r="D51" s="56" t="s">
        <v>145</v>
      </c>
      <c r="E51" s="56" t="s">
        <v>139</v>
      </c>
      <c r="F51" s="60" t="s">
        <v>942</v>
      </c>
      <c r="G51" s="56" t="s">
        <v>19</v>
      </c>
      <c r="H51" s="56" t="s">
        <v>141</v>
      </c>
      <c r="I51" s="56" t="s">
        <v>21</v>
      </c>
      <c r="J51" s="57" t="n">
        <v>45836</v>
      </c>
      <c r="K51" s="58" t="n">
        <v>1</v>
      </c>
      <c r="L51" s="59" t="n">
        <v>0.08125</v>
      </c>
      <c r="M51" s="31" t="s">
        <v>943</v>
      </c>
      <c r="N51" s="5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 customFormat="false" ht="22.5" hidden="false" customHeight="true" outlineLevel="0" collapsed="false">
      <c r="A52" s="63" t="n">
        <v>45835</v>
      </c>
      <c r="B52" s="1" t="n">
        <v>13</v>
      </c>
      <c r="C52" s="75" t="str">
        <f aca="false">IF(ISBLANK(A52), "--", PROPER(TEXT(A52, "dddd")))</f>
        <v>Friday</v>
      </c>
      <c r="D52" s="56" t="s">
        <v>16</v>
      </c>
      <c r="E52" s="56" t="s">
        <v>17</v>
      </c>
      <c r="F52" s="60" t="s">
        <v>930</v>
      </c>
      <c r="G52" s="56" t="s">
        <v>77</v>
      </c>
      <c r="H52" s="56" t="s">
        <v>449</v>
      </c>
      <c r="I52" s="56" t="s">
        <v>21</v>
      </c>
      <c r="J52" s="57" t="n">
        <v>45835</v>
      </c>
      <c r="K52" s="58" t="n">
        <v>1</v>
      </c>
      <c r="L52" s="59" t="n">
        <v>0.01875</v>
      </c>
      <c r="M52" s="31" t="s">
        <v>944</v>
      </c>
      <c r="N52" s="5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 customFormat="false" ht="22.5" hidden="false" customHeight="true" outlineLevel="0" collapsed="false">
      <c r="A53" s="63" t="n">
        <v>45835</v>
      </c>
      <c r="B53" s="1" t="n">
        <v>13</v>
      </c>
      <c r="C53" s="75" t="str">
        <f aca="false">IF(ISBLANK(A53), "--", PROPER(TEXT(A53, "dddd")))</f>
        <v>Friday</v>
      </c>
      <c r="D53" s="56" t="s">
        <v>145</v>
      </c>
      <c r="E53" s="56" t="s">
        <v>139</v>
      </c>
      <c r="F53" s="60" t="s">
        <v>945</v>
      </c>
      <c r="G53" s="56" t="s">
        <v>19</v>
      </c>
      <c r="H53" s="56" t="s">
        <v>141</v>
      </c>
      <c r="I53" s="56" t="s">
        <v>21</v>
      </c>
      <c r="J53" s="57" t="n">
        <v>45912</v>
      </c>
      <c r="K53" s="58" t="n">
        <v>2</v>
      </c>
      <c r="L53" s="59" t="n">
        <v>0.48125</v>
      </c>
      <c r="M53" s="31" t="s">
        <v>946</v>
      </c>
      <c r="N53" s="5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 customFormat="false" ht="15.75" hidden="false" customHeight="false" outlineLevel="0" collapsed="false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</row>
    <row r="55" customFormat="false" ht="15.75" hidden="false" customHeight="false" outlineLevel="0" collapsed="false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6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</row>
    <row r="56" customFormat="false" ht="15.75" hidden="false" customHeight="false" outlineLevel="0" collapsed="false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6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</row>
    <row r="57" customFormat="false" ht="15.7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</row>
    <row r="58" customFormat="false" ht="15.75" hidden="false" customHeight="false" outlineLevel="0" collapsed="false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</row>
    <row r="59" customFormat="false" ht="15.75" hidden="false" customHeight="false" outlineLevel="0" collapsed="false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</row>
    <row r="60" customFormat="false" ht="15.75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customFormat="false" ht="15.75" hidden="false" customHeight="false" outlineLevel="0" collapsed="false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 customFormat="false" ht="15.7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 customFormat="false" ht="15.7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</row>
    <row r="64" customFormat="false" ht="15.75" hidden="false" customHeight="false" outlineLevel="0" collapsed="false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</row>
    <row r="65" customFormat="false" ht="15.7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 customFormat="false" ht="15.7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</row>
    <row r="914" customFormat="false" ht="15.75" hidden="false" customHeight="false" outlineLevel="0" collapsed="false">
      <c r="B914" s="44"/>
      <c r="K914" s="46"/>
    </row>
    <row r="915" customFormat="false" ht="15.75" hidden="false" customHeight="false" outlineLevel="0" collapsed="false">
      <c r="B915" s="44"/>
      <c r="K915" s="46"/>
    </row>
    <row r="916" customFormat="false" ht="15.75" hidden="false" customHeight="false" outlineLevel="0" collapsed="false">
      <c r="B916" s="44"/>
      <c r="K916" s="46"/>
    </row>
    <row r="917" customFormat="false" ht="15.75" hidden="false" customHeight="false" outlineLevel="0" collapsed="false">
      <c r="B917" s="44"/>
      <c r="K917" s="46"/>
    </row>
    <row r="918" customFormat="false" ht="15.75" hidden="false" customHeight="false" outlineLevel="0" collapsed="false">
      <c r="B918" s="44"/>
      <c r="K918" s="46"/>
    </row>
    <row r="919" customFormat="false" ht="15.75" hidden="false" customHeight="false" outlineLevel="0" collapsed="false">
      <c r="B919" s="44"/>
      <c r="K919" s="46"/>
    </row>
    <row r="920" customFormat="false" ht="15.75" hidden="false" customHeight="false" outlineLevel="0" collapsed="false">
      <c r="B920" s="44"/>
      <c r="K920" s="46"/>
    </row>
    <row r="921" customFormat="false" ht="15.75" hidden="false" customHeight="false" outlineLevel="0" collapsed="false">
      <c r="B921" s="44"/>
      <c r="K921" s="46"/>
    </row>
    <row r="922" customFormat="false" ht="15.75" hidden="false" customHeight="false" outlineLevel="0" collapsed="false">
      <c r="B922" s="44"/>
      <c r="K922" s="46"/>
    </row>
    <row r="923" customFormat="false" ht="15.75" hidden="false" customHeight="false" outlineLevel="0" collapsed="false">
      <c r="B923" s="44"/>
      <c r="K923" s="46"/>
    </row>
    <row r="924" customFormat="false" ht="15.75" hidden="false" customHeight="false" outlineLevel="0" collapsed="false">
      <c r="B924" s="44"/>
      <c r="K924" s="46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false" outlineLevel="0" collapsed="false">
      <c r="B936" s="44"/>
      <c r="K936" s="46"/>
    </row>
    <row r="937" customFormat="false" ht="15.75" hidden="false" customHeight="false" outlineLevel="0" collapsed="false">
      <c r="B937" s="44"/>
      <c r="K937" s="46"/>
    </row>
    <row r="938" customFormat="false" ht="15.75" hidden="false" customHeight="false" outlineLevel="0" collapsed="false">
      <c r="B938" s="44"/>
      <c r="K938" s="46"/>
    </row>
    <row r="939" customFormat="false" ht="15.75" hidden="false" customHeight="false" outlineLevel="0" collapsed="false">
      <c r="B939" s="44"/>
      <c r="K939" s="46"/>
    </row>
    <row r="940" customFormat="false" ht="15.75" hidden="false" customHeight="false" outlineLevel="0" collapsed="false">
      <c r="B940" s="44"/>
      <c r="K940" s="46"/>
    </row>
    <row r="941" customFormat="false" ht="15.75" hidden="false" customHeight="false" outlineLevel="0" collapsed="false">
      <c r="B941" s="44"/>
      <c r="K941" s="46"/>
    </row>
    <row r="942" customFormat="false" ht="15.75" hidden="false" customHeight="false" outlineLevel="0" collapsed="false">
      <c r="B942" s="44"/>
      <c r="K942" s="46"/>
    </row>
    <row r="943" customFormat="false" ht="15.75" hidden="false" customHeight="false" outlineLevel="0" collapsed="false">
      <c r="B943" s="44"/>
      <c r="K943" s="46"/>
    </row>
    <row r="944" customFormat="false" ht="15.75" hidden="false" customHeight="false" outlineLevel="0" collapsed="false">
      <c r="B944" s="44"/>
      <c r="K944" s="46"/>
    </row>
    <row r="945" customFormat="false" ht="15.75" hidden="false" customHeight="false" outlineLevel="0" collapsed="false">
      <c r="B945" s="44"/>
      <c r="K945" s="46"/>
    </row>
    <row r="946" customFormat="false" ht="15.75" hidden="false" customHeight="false" outlineLevel="0" collapsed="false">
      <c r="B946" s="44"/>
      <c r="K946" s="46"/>
    </row>
    <row r="947" customFormat="false" ht="15.75" hidden="false" customHeight="false" outlineLevel="0" collapsed="false">
      <c r="B947" s="44"/>
      <c r="K947" s="46"/>
    </row>
    <row r="948" customFormat="false" ht="15.75" hidden="false" customHeight="false" outlineLevel="0" collapsed="false">
      <c r="B948" s="44"/>
      <c r="K948" s="46"/>
    </row>
    <row r="949" customFormat="false" ht="15.75" hidden="false" customHeight="false" outlineLevel="0" collapsed="false">
      <c r="B949" s="44"/>
      <c r="K949" s="46"/>
    </row>
    <row r="950" customFormat="false" ht="15.75" hidden="false" customHeight="false" outlineLevel="0" collapsed="false">
      <c r="B950" s="44"/>
      <c r="K950" s="46"/>
    </row>
    <row r="951" customFormat="false" ht="15.75" hidden="false" customHeight="true" outlineLevel="0" collapsed="false">
      <c r="B951" s="44"/>
    </row>
    <row r="952" customFormat="false" ht="15.75" hidden="false" customHeight="true" outlineLevel="0" collapsed="false">
      <c r="B952" s="44"/>
    </row>
    <row r="953" customFormat="false" ht="15.75" hidden="false" customHeight="true" outlineLevel="0" collapsed="false">
      <c r="B953" s="44"/>
    </row>
    <row r="954" customFormat="false" ht="15.75" hidden="false" customHeight="true" outlineLevel="0" collapsed="false">
      <c r="B954" s="44"/>
    </row>
    <row r="955" customFormat="false" ht="15.75" hidden="false" customHeight="true" outlineLevel="0" collapsed="false">
      <c r="B955" s="44"/>
    </row>
    <row r="956" customFormat="false" ht="15.75" hidden="false" customHeight="true" outlineLevel="0" collapsed="false">
      <c r="B956" s="44"/>
    </row>
    <row r="957" customFormat="false" ht="15.75" hidden="false" customHeight="true" outlineLevel="0" collapsed="false">
      <c r="B957" s="44"/>
    </row>
    <row r="958" customFormat="false" ht="15.75" hidden="false" customHeight="true" outlineLevel="0" collapsed="false">
      <c r="B958" s="44"/>
    </row>
    <row r="959" customFormat="false" ht="15.75" hidden="false" customHeight="true" outlineLevel="0" collapsed="false">
      <c r="B959" s="44"/>
    </row>
    <row r="960" customFormat="false" ht="15.75" hidden="false" customHeight="true" outlineLevel="0" collapsed="false">
      <c r="B960" s="44"/>
    </row>
    <row r="961" customFormat="false" ht="15.75" hidden="false" customHeight="true" outlineLevel="0" collapsed="false">
      <c r="B961" s="44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9">
    <dataValidation allowBlank="true" errorStyle="stop" operator="between" showDropDown="true" showErrorMessage="false" showInputMessage="false" sqref="F2:F53" type="none">
      <formula1>0</formula1>
      <formula2>0</formula2>
    </dataValidation>
    <dataValidation allowBlank="true" errorStyle="stop" operator="between" showDropDown="false" showErrorMessage="true" showInputMessage="false" sqref="C2:C53" type="list">
      <formula1>"Martes,Miércoles,Jueves,Viernes,Lunes,Domingo,--,Sabado "</formula1>
      <formula2>0</formula2>
    </dataValidation>
    <dataValidation allowBlank="true" errorStyle="stop" operator="between" showDropDown="false" showErrorMessage="true" showInputMessage="false" sqref="G2:G53" type="list">
      <formula1>"Alta,Normal,Urgente,Baja,--"</formula1>
      <formula2>0</formula2>
    </dataValidation>
    <dataValidation allowBlank="true" errorStyle="stop" operator="between" showDropDown="true" showErrorMessage="false" showInputMessage="false" sqref="A2:A53 J2:J53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I2:I53" type="list">
      <formula1>"Closed,Ready for testing ,Open,Under review,Partially Done,In progress,Approved,--,Needs more work,Deploy to production,Code Approved"</formula1>
      <formula2>0</formula2>
    </dataValidation>
    <dataValidation allowBlank="true" errorStyle="stop" operator="between" showDropDown="true" showErrorMessage="false" showInputMessage="false" sqref="K2:K53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E2:E53" type="list">
      <formula1>"Ajustes,Soporte,Mejoras,Corrección,Configuraciones,Revisión,--,Pagina Web,IT,Error,Blue,SOLICITUD ,PENDIENTE,Cotización ,Production "</formula1>
      <formula2>0</formula2>
    </dataValidation>
    <dataValidation allowBlank="true" errorStyle="stop" operator="between" showDropDown="false" showErrorMessage="false" showInputMessage="false" sqref="D2:D53" type="list">
      <formula1>"Faktur,Backpro,Zuckerman,Facialart,Dejusticia,Happycinamon,Nulab,Ncarb,ECOS,IDK,BMS,--,Swapps,WWilson,Tabby,Smart Web Apps,Comfinagro,IMC,Geosig,Soluciones Cientificas"</formula1>
      <formula2>0</formula2>
    </dataValidation>
    <dataValidation allowBlank="true" errorStyle="stop" operator="between" showDropDown="false" showErrorMessage="false" showInputMessage="false" sqref="H2:H53" type="list">
      <formula1>"Iván,Carlos,Gustavo,Diego,Andrés,JC,José,Héctor,Mateo,--,Blue,Carlos M,Johan"</formula1>
      <formula2>0</formula2>
    </dataValidation>
  </dataValidations>
  <hyperlinks>
    <hyperlink ref="M2" r:id="rId2" display="https://app.clickup.com/t/86b56t850"/>
    <hyperlink ref="M3" r:id="rId3" display="https://app.clickup.com/t/86b5792j6"/>
    <hyperlink ref="M4" r:id="rId4" display="https://app.clickup.com/t/86b57ftgq"/>
    <hyperlink ref="M5" r:id="rId5" display="https://app.clickup.com/t/86b588av0"/>
    <hyperlink ref="M6" r:id="rId6" display="https://app.clickup.com/t/86b58j5q7"/>
    <hyperlink ref="M7" r:id="rId7" display="https://app.clickup.com/t/86b58ex69"/>
    <hyperlink ref="M8" r:id="rId8" display="https://app.clickup.com/t/86b58ebyc"/>
    <hyperlink ref="M9" r:id="rId9" display="https://app.clickup.com/t/86b58e3w9"/>
    <hyperlink ref="M10" r:id="rId10" display="https://app.clickup.com/t/86b585fmr"/>
    <hyperlink ref="M11" r:id="rId11" display="https://app.clickup.com/t/86b59fpj3"/>
    <hyperlink ref="M12" r:id="rId12" display="https://app.clickup.com/t/86b58vg9k"/>
    <hyperlink ref="M13" r:id="rId13" display="https://app.clickup.com/t/86b5a078d"/>
    <hyperlink ref="M14" r:id="rId14" display="https://app.clickup.com/t/86b5a27eg"/>
    <hyperlink ref="M15" r:id="rId15" display="https://app.clickup.com/t/86b5ad4gh"/>
    <hyperlink ref="M16" r:id="rId16" display="https://app.clickup.com/t/86b5ak394"/>
    <hyperlink ref="M17" r:id="rId17" display="https://app.clickup.com/t/454056/SLA-1552"/>
    <hyperlink ref="M18" r:id="rId18" display="https://app.clickup.com/t/86b5awhv8"/>
    <hyperlink ref="M19" r:id="rId19" display="https://app.clickup.com/t/86b5b2ezk"/>
    <hyperlink ref="M20" r:id="rId20" display="https://app.clickup.com/t/86b5be68y"/>
    <hyperlink ref="M21" r:id="rId21" display="https://app.clickup.com/t/86b5c822u"/>
    <hyperlink ref="M22" r:id="rId22" display="https://app.clickup.com/t/86b5btn5b"/>
    <hyperlink ref="M23" r:id="rId23" display="https://app.clickup.com/t/86b5cjmta"/>
    <hyperlink ref="M24" r:id="rId24" display="https://app.clickup.com/t/86b5d09de"/>
    <hyperlink ref="M25" r:id="rId25" display="https://app.clickup.com/t/86b5d10en"/>
    <hyperlink ref="M26" r:id="rId26" display="https://app.clickup.com/t/86b5d1hu0"/>
    <hyperlink ref="M27" r:id="rId27" display="https://app.clickup.com/t/86b5d4wx3"/>
    <hyperlink ref="M28" r:id="rId28" display="https://app.clickup.com/t/86b5da853"/>
    <hyperlink ref="M29" r:id="rId29" display="https://app.clickup.com/t/86b5dgbun"/>
    <hyperlink ref="M30" r:id="rId30" display="https://app.clickup.com/t/86b5dgnez"/>
    <hyperlink ref="M31" r:id="rId31" display="https://app.clickup.com/t/86b5dg6ag"/>
    <hyperlink ref="M32" r:id="rId32" display="https://app.clickup.com/t/86b5dvng4"/>
    <hyperlink ref="M33" r:id="rId33" display="https://app.clickup.com/t/86b5dyh9b"/>
    <hyperlink ref="M34" r:id="rId34" display="https://app.clickup.com/t/86b5e0t18"/>
    <hyperlink ref="M35" r:id="rId35" display="https://app.clickup.com/t/86b5f0ye5"/>
    <hyperlink ref="M36" r:id="rId36" display="https://app.clickup.com/t/86b5f1aem"/>
    <hyperlink ref="M37" r:id="rId37" display="https://app.clickup.com/t/86b5e2f6f"/>
    <hyperlink ref="M38" r:id="rId38" display="https://app.clickup.com/t/86b5dz6t2"/>
    <hyperlink ref="M39" r:id="rId39" display="https://app.clickup.com/t/86b5f4ugu"/>
    <hyperlink ref="M40" r:id="rId40" display="https://app.clickup.com/t/86b5fp77b"/>
    <hyperlink ref="M41" r:id="rId41" display="https://app.clickup.com/t/86b5fu1k0"/>
    <hyperlink ref="M42" r:id="rId42" display="https://app.clickup.com/t/86b5g4m3b"/>
    <hyperlink ref="M43" r:id="rId43" display="https://app.clickup.com/t/86b5g64fw"/>
    <hyperlink ref="M44" r:id="rId44" display="https://app.clickup.com/t/86b5g6b2c"/>
    <hyperlink ref="M45" r:id="rId45" display="https://app.clickup.com/t/86b5ggza1"/>
    <hyperlink ref="M46" r:id="rId46" display="https://app.clickup.com/t/86b5ghqag"/>
    <hyperlink ref="M47" r:id="rId47" display="https://app.clickup.com/t/86b5ghxaw"/>
    <hyperlink ref="M48" r:id="rId48" display="https://app.clickup.com/t/86b5gme11"/>
    <hyperlink ref="M49" r:id="rId49" display="https://app.clickup.com/t/86b5gnuxw"/>
    <hyperlink ref="M50" r:id="rId50" display="https://app.clickup.com/t/86b5gpczp"/>
    <hyperlink ref="M51" r:id="rId51" display="https://app.clickup.com/t/86b5gj6a5"/>
    <hyperlink ref="M52" r:id="rId52" display="https://app.clickup.com/t/86b5gqyuf"/>
    <hyperlink ref="M53" r:id="rId53" display="https://app.clickup.com/t/86b5gj4ed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54"/>
  <tableParts>
    <tablePart r:id="rId5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true"/>
  </sheetPr>
  <dimension ref="A1:AG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3.75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64.89"/>
  </cols>
  <sheetData>
    <row r="1" customFormat="false" ht="22.5" hidden="false" customHeight="true" outlineLevel="0" collapsed="false">
      <c r="A1" s="50" t="s">
        <v>842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1" t="s">
        <v>14</v>
      </c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customFormat="false" ht="22.5" hidden="false" customHeight="true" outlineLevel="0" collapsed="false">
      <c r="A2" s="63" t="n">
        <v>45839</v>
      </c>
      <c r="B2" s="1" t="n">
        <v>13</v>
      </c>
      <c r="C2" s="75" t="str">
        <f aca="false">IF(ISBLANK(A2), "--", PROPER(TEXT(A2, "dddd")))</f>
        <v>Tuesday</v>
      </c>
      <c r="D2" s="56" t="s">
        <v>16</v>
      </c>
      <c r="E2" s="56" t="s">
        <v>17</v>
      </c>
      <c r="F2" s="60" t="s">
        <v>947</v>
      </c>
      <c r="G2" s="56" t="s">
        <v>19</v>
      </c>
      <c r="H2" s="56" t="s">
        <v>449</v>
      </c>
      <c r="I2" s="56" t="s">
        <v>21</v>
      </c>
      <c r="J2" s="57" t="n">
        <v>45840</v>
      </c>
      <c r="K2" s="58" t="n">
        <v>3</v>
      </c>
      <c r="L2" s="59" t="n">
        <v>0.26875</v>
      </c>
      <c r="M2" s="61" t="s">
        <v>948</v>
      </c>
      <c r="N2" s="56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customFormat="false" ht="22.5" hidden="false" customHeight="true" outlineLevel="0" collapsed="false">
      <c r="A3" s="63" t="n">
        <v>45839</v>
      </c>
      <c r="B3" s="1" t="n">
        <v>13</v>
      </c>
      <c r="C3" s="75" t="str">
        <f aca="false">IF(ISBLANK(A3), "--", PROPER(TEXT(A3, "dddd")))</f>
        <v>Tuesday</v>
      </c>
      <c r="D3" s="56" t="s">
        <v>145</v>
      </c>
      <c r="E3" s="56" t="s">
        <v>139</v>
      </c>
      <c r="F3" s="60" t="s">
        <v>949</v>
      </c>
      <c r="G3" s="56" t="s">
        <v>19</v>
      </c>
      <c r="H3" s="56" t="s">
        <v>141</v>
      </c>
      <c r="I3" s="56" t="s">
        <v>21</v>
      </c>
      <c r="J3" s="57" t="n">
        <v>45839</v>
      </c>
      <c r="K3" s="58" t="n">
        <v>0.5</v>
      </c>
      <c r="L3" s="59" t="n">
        <v>0.00763888888888889</v>
      </c>
      <c r="M3" s="61" t="s">
        <v>950</v>
      </c>
      <c r="N3" s="56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</row>
    <row r="4" customFormat="false" ht="22.5" hidden="false" customHeight="true" outlineLevel="0" collapsed="false">
      <c r="A4" s="63" t="n">
        <v>45839</v>
      </c>
      <c r="B4" s="1" t="n">
        <v>13</v>
      </c>
      <c r="C4" s="75" t="str">
        <f aca="false">IF(ISBLANK(A4), "--", PROPER(TEXT(A4, "dddd")))</f>
        <v>Tuesday</v>
      </c>
      <c r="D4" s="56" t="s">
        <v>46</v>
      </c>
      <c r="E4" s="56" t="s">
        <v>17</v>
      </c>
      <c r="F4" s="60" t="s">
        <v>951</v>
      </c>
      <c r="G4" s="56" t="s">
        <v>77</v>
      </c>
      <c r="H4" s="56" t="s">
        <v>449</v>
      </c>
      <c r="I4" s="56" t="s">
        <v>21</v>
      </c>
      <c r="J4" s="57" t="n">
        <v>45839</v>
      </c>
      <c r="K4" s="58" t="n">
        <v>1</v>
      </c>
      <c r="L4" s="59" t="n">
        <v>0.0625</v>
      </c>
      <c r="M4" s="31" t="s">
        <v>952</v>
      </c>
      <c r="N4" s="56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customFormat="false" ht="22.5" hidden="false" customHeight="true" outlineLevel="0" collapsed="false">
      <c r="A5" s="63" t="n">
        <v>45840</v>
      </c>
      <c r="B5" s="1" t="n">
        <v>13</v>
      </c>
      <c r="C5" s="75" t="str">
        <f aca="false">IF(ISBLANK(A5), "--", PROPER(TEXT(A5, "dddd")))</f>
        <v>Wednesday</v>
      </c>
      <c r="D5" s="56" t="s">
        <v>134</v>
      </c>
      <c r="E5" s="56" t="s">
        <v>17</v>
      </c>
      <c r="F5" s="60" t="s">
        <v>953</v>
      </c>
      <c r="G5" s="56" t="s">
        <v>77</v>
      </c>
      <c r="H5" s="56" t="s">
        <v>70</v>
      </c>
      <c r="I5" s="56" t="s">
        <v>21</v>
      </c>
      <c r="J5" s="63" t="n">
        <v>45840</v>
      </c>
      <c r="K5" s="58" t="n">
        <v>1</v>
      </c>
      <c r="L5" s="59" t="n">
        <v>0.0194444444444444</v>
      </c>
      <c r="M5" s="31" t="s">
        <v>954</v>
      </c>
      <c r="N5" s="56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  <row r="6" customFormat="false" ht="22.5" hidden="false" customHeight="true" outlineLevel="0" collapsed="false">
      <c r="A6" s="63" t="n">
        <v>45840</v>
      </c>
      <c r="B6" s="1" t="n">
        <v>13</v>
      </c>
      <c r="C6" s="75" t="str">
        <f aca="false">IF(ISBLANK(A6), "--", PROPER(TEXT(A6, "dddd")))</f>
        <v>Wednesday</v>
      </c>
      <c r="D6" s="56" t="s">
        <v>145</v>
      </c>
      <c r="E6" s="56" t="s">
        <v>139</v>
      </c>
      <c r="F6" s="60" t="s">
        <v>955</v>
      </c>
      <c r="G6" s="56" t="s">
        <v>48</v>
      </c>
      <c r="H6" s="56" t="s">
        <v>141</v>
      </c>
      <c r="I6" s="56" t="s">
        <v>21</v>
      </c>
      <c r="J6" s="63" t="n">
        <v>45840</v>
      </c>
      <c r="K6" s="58" t="n">
        <v>1</v>
      </c>
      <c r="L6" s="59" t="n">
        <v>0.0833333333333333</v>
      </c>
      <c r="M6" s="31" t="s">
        <v>956</v>
      </c>
      <c r="N6" s="56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7" customFormat="false" ht="22.5" hidden="false" customHeight="true" outlineLevel="0" collapsed="false">
      <c r="A7" s="63" t="n">
        <v>45840</v>
      </c>
      <c r="B7" s="1" t="n">
        <v>13</v>
      </c>
      <c r="C7" s="75" t="str">
        <f aca="false">IF(ISBLANK(A7), "--", PROPER(TEXT(A7, "dddd")))</f>
        <v>Wednesday</v>
      </c>
      <c r="D7" s="56" t="s">
        <v>16</v>
      </c>
      <c r="E7" s="56" t="s">
        <v>17</v>
      </c>
      <c r="F7" s="60" t="s">
        <v>957</v>
      </c>
      <c r="G7" s="56" t="s">
        <v>19</v>
      </c>
      <c r="H7" s="56" t="s">
        <v>449</v>
      </c>
      <c r="I7" s="56" t="s">
        <v>21</v>
      </c>
      <c r="J7" s="63" t="n">
        <v>45840</v>
      </c>
      <c r="K7" s="58" t="n">
        <v>1</v>
      </c>
      <c r="L7" s="59" t="n">
        <v>0.0236111111111111</v>
      </c>
      <c r="M7" s="61" t="s">
        <v>958</v>
      </c>
      <c r="N7" s="56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</row>
    <row r="8" customFormat="false" ht="22.5" hidden="false" customHeight="true" outlineLevel="0" collapsed="false">
      <c r="A8" s="63" t="n">
        <v>45841</v>
      </c>
      <c r="B8" s="1" t="n">
        <v>13</v>
      </c>
      <c r="C8" s="75" t="str">
        <f aca="false">IF(ISBLANK(A8), "--", PROPER(TEXT(A8, "dddd")))</f>
        <v>Thursday</v>
      </c>
      <c r="D8" s="56" t="s">
        <v>16</v>
      </c>
      <c r="E8" s="56" t="s">
        <v>17</v>
      </c>
      <c r="F8" s="60" t="s">
        <v>959</v>
      </c>
      <c r="G8" s="56" t="s">
        <v>19</v>
      </c>
      <c r="H8" s="56" t="s">
        <v>449</v>
      </c>
      <c r="I8" s="56" t="s">
        <v>21</v>
      </c>
      <c r="J8" s="57" t="n">
        <v>45841</v>
      </c>
      <c r="K8" s="58" t="n">
        <v>3</v>
      </c>
      <c r="L8" s="59" t="n">
        <v>0.265277777777778</v>
      </c>
      <c r="M8" s="31" t="s">
        <v>960</v>
      </c>
      <c r="N8" s="56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customFormat="false" ht="22.5" hidden="false" customHeight="true" outlineLevel="0" collapsed="false">
      <c r="A9" s="63" t="n">
        <v>45841</v>
      </c>
      <c r="B9" s="1" t="n">
        <v>13</v>
      </c>
      <c r="C9" s="75" t="str">
        <f aca="false">IF(ISBLANK(A9), "--", PROPER(TEXT(A9, "dddd")))</f>
        <v>Thursday</v>
      </c>
      <c r="D9" s="56" t="s">
        <v>16</v>
      </c>
      <c r="E9" s="56" t="s">
        <v>17</v>
      </c>
      <c r="F9" s="60" t="s">
        <v>961</v>
      </c>
      <c r="G9" s="56" t="s">
        <v>19</v>
      </c>
      <c r="H9" s="56" t="s">
        <v>449</v>
      </c>
      <c r="I9" s="56" t="s">
        <v>21</v>
      </c>
      <c r="J9" s="63" t="n">
        <v>45842</v>
      </c>
      <c r="K9" s="58" t="n">
        <v>1</v>
      </c>
      <c r="L9" s="59" t="n">
        <v>0.0291666666666667</v>
      </c>
      <c r="M9" s="61" t="s">
        <v>962</v>
      </c>
      <c r="N9" s="56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</row>
    <row r="10" customFormat="false" ht="22.5" hidden="false" customHeight="true" outlineLevel="0" collapsed="false">
      <c r="A10" s="63" t="n">
        <v>45842</v>
      </c>
      <c r="B10" s="1" t="n">
        <v>13</v>
      </c>
      <c r="C10" s="75" t="str">
        <f aca="false">IF(ISBLANK(A10), "--", PROPER(TEXT(A10, "dddd")))</f>
        <v>Friday</v>
      </c>
      <c r="D10" s="56" t="s">
        <v>145</v>
      </c>
      <c r="E10" s="56" t="s">
        <v>139</v>
      </c>
      <c r="F10" s="60" t="s">
        <v>963</v>
      </c>
      <c r="G10" s="56" t="s">
        <v>19</v>
      </c>
      <c r="H10" s="56" t="s">
        <v>141</v>
      </c>
      <c r="I10" s="56" t="s">
        <v>21</v>
      </c>
      <c r="J10" s="63" t="n">
        <v>45842</v>
      </c>
      <c r="K10" s="58" t="n">
        <v>0.5</v>
      </c>
      <c r="L10" s="59" t="n">
        <v>0.0104166666666667</v>
      </c>
      <c r="M10" s="61" t="s">
        <v>964</v>
      </c>
      <c r="N10" s="56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</row>
    <row r="11" customFormat="false" ht="22.5" hidden="false" customHeight="true" outlineLevel="0" collapsed="false">
      <c r="A11" s="63" t="n">
        <v>45842</v>
      </c>
      <c r="B11" s="1" t="n">
        <v>13</v>
      </c>
      <c r="C11" s="75" t="str">
        <f aca="false">IF(ISBLANK(A11), "--", PROPER(TEXT(A11, "dddd")))</f>
        <v>Friday</v>
      </c>
      <c r="D11" s="56" t="s">
        <v>145</v>
      </c>
      <c r="E11" s="56" t="s">
        <v>17</v>
      </c>
      <c r="F11" s="60" t="s">
        <v>965</v>
      </c>
      <c r="G11" s="56" t="s">
        <v>77</v>
      </c>
      <c r="H11" s="56" t="s">
        <v>966</v>
      </c>
      <c r="I11" s="56" t="s">
        <v>21</v>
      </c>
      <c r="J11" s="63" t="n">
        <v>45845</v>
      </c>
      <c r="K11" s="58" t="n">
        <v>2</v>
      </c>
      <c r="L11" s="59" t="n">
        <v>0.219444444444444</v>
      </c>
      <c r="M11" s="61" t="s">
        <v>967</v>
      </c>
      <c r="N11" s="56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</row>
    <row r="12" customFormat="false" ht="22.5" hidden="false" customHeight="true" outlineLevel="0" collapsed="false">
      <c r="A12" s="77" t="n">
        <v>45845</v>
      </c>
      <c r="B12" s="1" t="n">
        <v>14</v>
      </c>
      <c r="C12" s="75" t="str">
        <f aca="false">IF(ISBLANK(A12), "--", PROPER(TEXT(A12, "dddd")))</f>
        <v>Monday</v>
      </c>
      <c r="D12" s="56" t="s">
        <v>16</v>
      </c>
      <c r="E12" s="56" t="s">
        <v>17</v>
      </c>
      <c r="F12" s="60" t="s">
        <v>968</v>
      </c>
      <c r="G12" s="56" t="s">
        <v>19</v>
      </c>
      <c r="H12" s="56" t="s">
        <v>449</v>
      </c>
      <c r="I12" s="56" t="s">
        <v>21</v>
      </c>
      <c r="J12" s="63" t="n">
        <v>45845</v>
      </c>
      <c r="K12" s="58" t="n">
        <v>1</v>
      </c>
      <c r="L12" s="59" t="n">
        <v>0.0180555555555556</v>
      </c>
      <c r="M12" s="64" t="s">
        <v>969</v>
      </c>
      <c r="N12" s="56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</row>
    <row r="13" customFormat="false" ht="22.5" hidden="false" customHeight="true" outlineLevel="0" collapsed="false">
      <c r="A13" s="63" t="n">
        <v>45845</v>
      </c>
      <c r="B13" s="1" t="n">
        <v>14</v>
      </c>
      <c r="C13" s="75" t="str">
        <f aca="false">IF(ISBLANK(A13), "--", PROPER(TEXT(A13, "dddd")))</f>
        <v>Monday</v>
      </c>
      <c r="D13" s="56" t="s">
        <v>785</v>
      </c>
      <c r="E13" s="56" t="s">
        <v>17</v>
      </c>
      <c r="F13" s="60" t="s">
        <v>970</v>
      </c>
      <c r="G13" s="56" t="s">
        <v>77</v>
      </c>
      <c r="H13" s="56" t="s">
        <v>449</v>
      </c>
      <c r="I13" s="56" t="s">
        <v>21</v>
      </c>
      <c r="J13" s="57" t="n">
        <v>45845</v>
      </c>
      <c r="K13" s="58" t="n">
        <v>2</v>
      </c>
      <c r="L13" s="59" t="n">
        <v>0.111805555555556</v>
      </c>
      <c r="M13" s="61" t="s">
        <v>971</v>
      </c>
      <c r="N13" s="56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</row>
    <row r="14" customFormat="false" ht="22.5" hidden="false" customHeight="true" outlineLevel="0" collapsed="false">
      <c r="A14" s="63" t="n">
        <v>45845</v>
      </c>
      <c r="B14" s="1" t="n">
        <v>14</v>
      </c>
      <c r="C14" s="75" t="str">
        <f aca="false">IF(ISBLANK(A14), "--", PROPER(TEXT(A14, "dddd")))</f>
        <v>Monday</v>
      </c>
      <c r="D14" s="56" t="s">
        <v>46</v>
      </c>
      <c r="E14" s="56" t="s">
        <v>17</v>
      </c>
      <c r="F14" s="60" t="s">
        <v>972</v>
      </c>
      <c r="G14" s="56" t="s">
        <v>19</v>
      </c>
      <c r="H14" s="56" t="s">
        <v>973</v>
      </c>
      <c r="I14" s="56" t="s">
        <v>21</v>
      </c>
      <c r="J14" s="57" t="n">
        <v>45876</v>
      </c>
      <c r="K14" s="58" t="n">
        <v>5</v>
      </c>
      <c r="L14" s="59" t="n">
        <v>0.536111111111111</v>
      </c>
      <c r="M14" s="31" t="s">
        <v>974</v>
      </c>
      <c r="N14" s="56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 customFormat="false" ht="22.5" hidden="false" customHeight="true" outlineLevel="0" collapsed="false">
      <c r="A15" s="63" t="n">
        <v>45845</v>
      </c>
      <c r="B15" s="1" t="n">
        <v>14</v>
      </c>
      <c r="C15" s="75" t="str">
        <f aca="false">IF(ISBLANK(A15), "--", PROPER(TEXT(A15, "dddd")))</f>
        <v>Monday</v>
      </c>
      <c r="D15" s="56" t="s">
        <v>46</v>
      </c>
      <c r="E15" s="56" t="s">
        <v>17</v>
      </c>
      <c r="F15" s="60" t="s">
        <v>975</v>
      </c>
      <c r="G15" s="56" t="s">
        <v>19</v>
      </c>
      <c r="H15" s="56" t="s">
        <v>973</v>
      </c>
      <c r="I15" s="56" t="s">
        <v>21</v>
      </c>
      <c r="J15" s="57" t="n">
        <v>45876</v>
      </c>
      <c r="K15" s="58" t="n">
        <v>2</v>
      </c>
      <c r="L15" s="59" t="n">
        <v>0.0527777777777778</v>
      </c>
      <c r="M15" s="31" t="s">
        <v>976</v>
      </c>
      <c r="N15" s="56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</row>
    <row r="16" customFormat="false" ht="22.5" hidden="false" customHeight="true" outlineLevel="0" collapsed="false">
      <c r="A16" s="63" t="n">
        <v>45845</v>
      </c>
      <c r="B16" s="1" t="n">
        <v>14</v>
      </c>
      <c r="C16" s="75" t="str">
        <f aca="false">IF(ISBLANK(A16), "--", PROPER(TEXT(A16, "dddd")))</f>
        <v>Monday</v>
      </c>
      <c r="D16" s="56" t="s">
        <v>46</v>
      </c>
      <c r="E16" s="56" t="s">
        <v>17</v>
      </c>
      <c r="F16" s="60" t="s">
        <v>977</v>
      </c>
      <c r="G16" s="56" t="s">
        <v>19</v>
      </c>
      <c r="H16" s="56" t="s">
        <v>973</v>
      </c>
      <c r="I16" s="56" t="s">
        <v>21</v>
      </c>
      <c r="J16" s="57" t="n">
        <v>45876</v>
      </c>
      <c r="K16" s="58" t="n">
        <v>2</v>
      </c>
      <c r="L16" s="59" t="n">
        <v>0.370138888888889</v>
      </c>
      <c r="M16" s="31" t="s">
        <v>978</v>
      </c>
      <c r="N16" s="56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</row>
    <row r="17" customFormat="false" ht="22.5" hidden="false" customHeight="true" outlineLevel="0" collapsed="false">
      <c r="A17" s="63" t="n">
        <v>45845</v>
      </c>
      <c r="B17" s="1" t="n">
        <v>14</v>
      </c>
      <c r="C17" s="75" t="str">
        <f aca="false">IF(ISBLANK(A17), "--", PROPER(TEXT(A17, "dddd")))</f>
        <v>Monday</v>
      </c>
      <c r="D17" s="56" t="s">
        <v>46</v>
      </c>
      <c r="E17" s="56" t="s">
        <v>17</v>
      </c>
      <c r="F17" s="60" t="s">
        <v>979</v>
      </c>
      <c r="G17" s="56" t="s">
        <v>19</v>
      </c>
      <c r="H17" s="56" t="s">
        <v>973</v>
      </c>
      <c r="I17" s="56" t="s">
        <v>21</v>
      </c>
      <c r="J17" s="57" t="n">
        <v>45845</v>
      </c>
      <c r="K17" s="58" t="n">
        <v>1</v>
      </c>
      <c r="L17" s="59" t="n">
        <v>0.0340277777777778</v>
      </c>
      <c r="M17" s="31" t="s">
        <v>980</v>
      </c>
      <c r="N17" s="56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</row>
    <row r="18" customFormat="false" ht="22.5" hidden="false" customHeight="true" outlineLevel="0" collapsed="false">
      <c r="A18" s="63" t="n">
        <v>45845</v>
      </c>
      <c r="B18" s="1" t="n">
        <v>14</v>
      </c>
      <c r="C18" s="75" t="str">
        <f aca="false">IF(ISBLANK(A18), "--", PROPER(TEXT(A18, "dddd")))</f>
        <v>Monday</v>
      </c>
      <c r="D18" s="56" t="s">
        <v>134</v>
      </c>
      <c r="E18" s="56" t="s">
        <v>17</v>
      </c>
      <c r="F18" s="60" t="s">
        <v>981</v>
      </c>
      <c r="G18" s="56" t="s">
        <v>19</v>
      </c>
      <c r="H18" s="56" t="s">
        <v>70</v>
      </c>
      <c r="I18" s="56" t="s">
        <v>21</v>
      </c>
      <c r="J18" s="57" t="n">
        <v>45847</v>
      </c>
      <c r="K18" s="58" t="n">
        <v>3</v>
      </c>
      <c r="L18" s="59" t="n">
        <v>0.110416666666667</v>
      </c>
      <c r="M18" s="61" t="s">
        <v>982</v>
      </c>
      <c r="N18" s="56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customFormat="false" ht="22.5" hidden="false" customHeight="true" outlineLevel="0" collapsed="false">
      <c r="A19" s="63" t="n">
        <v>45845</v>
      </c>
      <c r="B19" s="1" t="n">
        <v>14</v>
      </c>
      <c r="C19" s="75" t="str">
        <f aca="false">IF(ISBLANK(A19), "--", PROPER(TEXT(A19, "dddd")))</f>
        <v>Monday</v>
      </c>
      <c r="D19" s="56" t="s">
        <v>16</v>
      </c>
      <c r="E19" s="56" t="s">
        <v>17</v>
      </c>
      <c r="F19" s="60" t="s">
        <v>983</v>
      </c>
      <c r="G19" s="56" t="s">
        <v>77</v>
      </c>
      <c r="H19" s="56" t="s">
        <v>449</v>
      </c>
      <c r="I19" s="56" t="s">
        <v>21</v>
      </c>
      <c r="J19" s="57" t="n">
        <v>45845</v>
      </c>
      <c r="K19" s="58" t="n">
        <v>0.5</v>
      </c>
      <c r="L19" s="59" t="n">
        <v>0.193055555555556</v>
      </c>
      <c r="M19" s="61" t="s">
        <v>984</v>
      </c>
      <c r="N19" s="5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</row>
    <row r="20" customFormat="false" ht="22.5" hidden="false" customHeight="true" outlineLevel="0" collapsed="false">
      <c r="A20" s="63" t="n">
        <v>45845</v>
      </c>
      <c r="B20" s="1" t="n">
        <v>14</v>
      </c>
      <c r="C20" s="75" t="str">
        <f aca="false">IF(ISBLANK(A20), "--", PROPER(TEXT(A20, "dddd")))</f>
        <v>Monday</v>
      </c>
      <c r="D20" s="56" t="s">
        <v>16</v>
      </c>
      <c r="E20" s="56" t="s">
        <v>17</v>
      </c>
      <c r="F20" s="60" t="s">
        <v>985</v>
      </c>
      <c r="G20" s="56" t="s">
        <v>77</v>
      </c>
      <c r="H20" s="56" t="s">
        <v>449</v>
      </c>
      <c r="I20" s="56" t="s">
        <v>21</v>
      </c>
      <c r="J20" s="57" t="n">
        <v>45846</v>
      </c>
      <c r="K20" s="58" t="n">
        <v>0.5</v>
      </c>
      <c r="L20" s="59" t="n">
        <v>0.0173611111111111</v>
      </c>
      <c r="M20" s="61" t="s">
        <v>986</v>
      </c>
      <c r="N20" s="56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</row>
    <row r="21" customFormat="false" ht="22.5" hidden="false" customHeight="true" outlineLevel="0" collapsed="false">
      <c r="A21" s="63" t="n">
        <v>45846</v>
      </c>
      <c r="B21" s="1" t="n">
        <v>14</v>
      </c>
      <c r="C21" s="75" t="str">
        <f aca="false">IF(ISBLANK(A21), "--", PROPER(TEXT(A21, "dddd")))</f>
        <v>Tuesday</v>
      </c>
      <c r="D21" s="56" t="s">
        <v>16</v>
      </c>
      <c r="E21" s="56" t="s">
        <v>17</v>
      </c>
      <c r="F21" s="60" t="s">
        <v>987</v>
      </c>
      <c r="G21" s="56" t="s">
        <v>19</v>
      </c>
      <c r="H21" s="56" t="s">
        <v>449</v>
      </c>
      <c r="I21" s="56" t="s">
        <v>21</v>
      </c>
      <c r="J21" s="57" t="n">
        <v>45846</v>
      </c>
      <c r="K21" s="58" t="n">
        <v>0.5</v>
      </c>
      <c r="L21" s="59" t="n">
        <v>0.0284722222222222</v>
      </c>
      <c r="M21" s="31" t="s">
        <v>988</v>
      </c>
      <c r="N21" s="56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</row>
    <row r="22" customFormat="false" ht="22.5" hidden="false" customHeight="true" outlineLevel="0" collapsed="false">
      <c r="A22" s="63" t="n">
        <v>45847</v>
      </c>
      <c r="B22" s="1" t="n">
        <v>14</v>
      </c>
      <c r="C22" s="75" t="str">
        <f aca="false">IF(ISBLANK(A22), "--", PROPER(TEXT(A22, "dddd")))</f>
        <v>Wednesday</v>
      </c>
      <c r="D22" s="56" t="s">
        <v>145</v>
      </c>
      <c r="E22" s="56" t="s">
        <v>139</v>
      </c>
      <c r="F22" s="60" t="s">
        <v>989</v>
      </c>
      <c r="G22" s="56" t="s">
        <v>19</v>
      </c>
      <c r="H22" s="56" t="s">
        <v>449</v>
      </c>
      <c r="I22" s="56" t="s">
        <v>21</v>
      </c>
      <c r="J22" s="57" t="n">
        <v>45847</v>
      </c>
      <c r="K22" s="58" t="n">
        <v>0.5</v>
      </c>
      <c r="L22" s="59" t="n">
        <v>0.00555555555555556</v>
      </c>
      <c r="M22" s="31" t="s">
        <v>990</v>
      </c>
      <c r="N22" s="56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  <row r="23" customFormat="false" ht="22.5" hidden="false" customHeight="true" outlineLevel="0" collapsed="false">
      <c r="A23" s="63" t="n">
        <v>45847</v>
      </c>
      <c r="B23" s="1" t="n">
        <v>14</v>
      </c>
      <c r="C23" s="75" t="str">
        <f aca="false">IF(ISBLANK(A23), "--", PROPER(TEXT(A23, "dddd")))</f>
        <v>Wednesday</v>
      </c>
      <c r="D23" s="56" t="s">
        <v>145</v>
      </c>
      <c r="E23" s="56" t="s">
        <v>17</v>
      </c>
      <c r="F23" s="60" t="s">
        <v>991</v>
      </c>
      <c r="G23" s="56" t="s">
        <v>19</v>
      </c>
      <c r="H23" s="56" t="s">
        <v>966</v>
      </c>
      <c r="I23" s="56" t="s">
        <v>21</v>
      </c>
      <c r="J23" s="57" t="n">
        <v>45849</v>
      </c>
      <c r="K23" s="58" t="n">
        <v>2</v>
      </c>
      <c r="L23" s="59" t="n">
        <v>0.03125</v>
      </c>
      <c r="M23" s="61" t="s">
        <v>992</v>
      </c>
      <c r="N23" s="56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</row>
    <row r="24" customFormat="false" ht="22.5" hidden="false" customHeight="true" outlineLevel="0" collapsed="false">
      <c r="A24" s="63" t="n">
        <v>45847</v>
      </c>
      <c r="B24" s="1" t="n">
        <v>14</v>
      </c>
      <c r="C24" s="75" t="str">
        <f aca="false">IF(ISBLANK(A24), "--", PROPER(TEXT(A24, "dddd")))</f>
        <v>Wednesday</v>
      </c>
      <c r="D24" s="56" t="s">
        <v>145</v>
      </c>
      <c r="E24" s="56" t="s">
        <v>139</v>
      </c>
      <c r="F24" s="60" t="s">
        <v>993</v>
      </c>
      <c r="G24" s="56" t="s">
        <v>19</v>
      </c>
      <c r="H24" s="56" t="s">
        <v>449</v>
      </c>
      <c r="I24" s="56" t="s">
        <v>21</v>
      </c>
      <c r="J24" s="57" t="n">
        <v>45847</v>
      </c>
      <c r="K24" s="58" t="n">
        <v>0.5</v>
      </c>
      <c r="L24" s="59" t="n">
        <v>0.00416666666666667</v>
      </c>
      <c r="M24" s="31" t="s">
        <v>994</v>
      </c>
      <c r="N24" s="56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customFormat="false" ht="22.5" hidden="false" customHeight="true" outlineLevel="0" collapsed="false">
      <c r="A25" s="63" t="n">
        <v>45848</v>
      </c>
      <c r="B25" s="1" t="n">
        <v>14</v>
      </c>
      <c r="C25" s="75" t="str">
        <f aca="false">IF(ISBLANK(A25), "--", PROPER(TEXT(A25, "dddd")))</f>
        <v>Thursday</v>
      </c>
      <c r="D25" s="56" t="s">
        <v>16</v>
      </c>
      <c r="E25" s="56" t="s">
        <v>17</v>
      </c>
      <c r="F25" s="60" t="s">
        <v>995</v>
      </c>
      <c r="G25" s="56" t="s">
        <v>19</v>
      </c>
      <c r="H25" s="56" t="s">
        <v>449</v>
      </c>
      <c r="I25" s="56" t="s">
        <v>21</v>
      </c>
      <c r="J25" s="57" t="n">
        <v>45849</v>
      </c>
      <c r="K25" s="58" t="n">
        <v>1</v>
      </c>
      <c r="L25" s="59" t="n">
        <v>0.0576388888888889</v>
      </c>
      <c r="M25" s="31" t="s">
        <v>996</v>
      </c>
      <c r="N25" s="56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customFormat="false" ht="22.5" hidden="false" customHeight="true" outlineLevel="0" collapsed="false">
      <c r="A26" s="63" t="n">
        <v>45848</v>
      </c>
      <c r="B26" s="1" t="n">
        <v>14</v>
      </c>
      <c r="C26" s="75" t="str">
        <f aca="false">IF(ISBLANK(A26), "--", PROPER(TEXT(A26, "dddd")))</f>
        <v>Thursday</v>
      </c>
      <c r="D26" s="56" t="s">
        <v>16</v>
      </c>
      <c r="E26" s="56" t="s">
        <v>17</v>
      </c>
      <c r="F26" s="60" t="s">
        <v>997</v>
      </c>
      <c r="G26" s="56" t="s">
        <v>19</v>
      </c>
      <c r="H26" s="56" t="s">
        <v>449</v>
      </c>
      <c r="I26" s="56" t="s">
        <v>21</v>
      </c>
      <c r="J26" s="57" t="n">
        <v>45848</v>
      </c>
      <c r="K26" s="58" t="n">
        <v>0.5</v>
      </c>
      <c r="L26" s="59" t="n">
        <v>0.00972222222222222</v>
      </c>
      <c r="M26" s="31" t="s">
        <v>998</v>
      </c>
      <c r="N26" s="56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customFormat="false" ht="22.5" hidden="false" customHeight="true" outlineLevel="0" collapsed="false">
      <c r="A27" s="63" t="n">
        <v>45848</v>
      </c>
      <c r="B27" s="1" t="n">
        <v>14</v>
      </c>
      <c r="C27" s="75" t="str">
        <f aca="false">IF(ISBLANK(A27), "--", PROPER(TEXT(A27, "dddd")))</f>
        <v>Thursday</v>
      </c>
      <c r="D27" s="56" t="s">
        <v>16</v>
      </c>
      <c r="E27" s="56" t="s">
        <v>17</v>
      </c>
      <c r="F27" s="60" t="s">
        <v>999</v>
      </c>
      <c r="G27" s="56" t="s">
        <v>48</v>
      </c>
      <c r="H27" s="56" t="s">
        <v>449</v>
      </c>
      <c r="I27" s="56" t="s">
        <v>21</v>
      </c>
      <c r="J27" s="57" t="n">
        <v>45849</v>
      </c>
      <c r="K27" s="58" t="n">
        <v>1</v>
      </c>
      <c r="L27" s="59" t="n">
        <v>0.0645833333333333</v>
      </c>
      <c r="M27" s="31" t="s">
        <v>1000</v>
      </c>
      <c r="N27" s="56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</row>
    <row r="28" customFormat="false" ht="22.5" hidden="false" customHeight="true" outlineLevel="0" collapsed="false">
      <c r="A28" s="63" t="n">
        <v>45849</v>
      </c>
      <c r="B28" s="1" t="n">
        <v>14</v>
      </c>
      <c r="C28" s="75" t="str">
        <f aca="false">IF(ISBLANK(A28), "--", PROPER(TEXT(A28, "dddd")))</f>
        <v>Friday</v>
      </c>
      <c r="D28" s="56" t="s">
        <v>16</v>
      </c>
      <c r="E28" s="56" t="s">
        <v>17</v>
      </c>
      <c r="F28" s="60" t="s">
        <v>1001</v>
      </c>
      <c r="G28" s="56" t="s">
        <v>19</v>
      </c>
      <c r="H28" s="56" t="s">
        <v>449</v>
      </c>
      <c r="I28" s="56" t="s">
        <v>21</v>
      </c>
      <c r="J28" s="57" t="n">
        <v>45849</v>
      </c>
      <c r="K28" s="58" t="n">
        <v>0.5</v>
      </c>
      <c r="L28" s="59" t="n">
        <v>0.0909722222222222</v>
      </c>
      <c r="M28" s="61" t="s">
        <v>1002</v>
      </c>
      <c r="N28" s="56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</row>
    <row r="29" customFormat="false" ht="22.5" hidden="false" customHeight="true" outlineLevel="0" collapsed="false">
      <c r="A29" s="63" t="n">
        <v>45849</v>
      </c>
      <c r="B29" s="1" t="n">
        <v>14</v>
      </c>
      <c r="C29" s="75" t="str">
        <f aca="false">IF(ISBLANK(A29), "--", PROPER(TEXT(A29, "dddd")))</f>
        <v>Friday</v>
      </c>
      <c r="D29" s="56" t="s">
        <v>145</v>
      </c>
      <c r="E29" s="56" t="s">
        <v>139</v>
      </c>
      <c r="F29" s="60" t="s">
        <v>1003</v>
      </c>
      <c r="G29" s="56" t="s">
        <v>19</v>
      </c>
      <c r="H29" s="56" t="s">
        <v>449</v>
      </c>
      <c r="I29" s="56" t="s">
        <v>21</v>
      </c>
      <c r="J29" s="57" t="n">
        <v>45852</v>
      </c>
      <c r="K29" s="58" t="n">
        <v>0.5</v>
      </c>
      <c r="L29" s="59" t="n">
        <v>0.0236111111111111</v>
      </c>
      <c r="M29" s="31" t="s">
        <v>1004</v>
      </c>
      <c r="N29" s="5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</row>
    <row r="30" customFormat="false" ht="22.5" hidden="false" customHeight="true" outlineLevel="0" collapsed="false">
      <c r="A30" s="63" t="n">
        <v>45849</v>
      </c>
      <c r="B30" s="1" t="n">
        <v>14</v>
      </c>
      <c r="C30" s="75" t="str">
        <f aca="false">IF(ISBLANK(A30), "--", PROPER(TEXT(A30, "dddd")))</f>
        <v>Friday</v>
      </c>
      <c r="D30" s="56" t="s">
        <v>156</v>
      </c>
      <c r="E30" s="56" t="s">
        <v>17</v>
      </c>
      <c r="F30" s="60" t="s">
        <v>1005</v>
      </c>
      <c r="G30" s="56" t="s">
        <v>77</v>
      </c>
      <c r="H30" s="56" t="s">
        <v>20</v>
      </c>
      <c r="I30" s="56" t="s">
        <v>21</v>
      </c>
      <c r="J30" s="57" t="n">
        <v>45853</v>
      </c>
      <c r="K30" s="58" t="n">
        <v>2</v>
      </c>
      <c r="L30" s="59" t="n">
        <v>0.155555555555556</v>
      </c>
      <c r="M30" s="61" t="s">
        <v>1006</v>
      </c>
      <c r="N30" s="56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customFormat="false" ht="22.5" hidden="false" customHeight="true" outlineLevel="0" collapsed="false">
      <c r="A31" s="63" t="n">
        <v>45852</v>
      </c>
      <c r="B31" s="1" t="n">
        <v>14</v>
      </c>
      <c r="C31" s="75" t="str">
        <f aca="false">IF(ISBLANK(A31), "--", PROPER(TEXT(A31, "dddd")))</f>
        <v>Monday</v>
      </c>
      <c r="D31" s="56" t="s">
        <v>16</v>
      </c>
      <c r="E31" s="56" t="s">
        <v>17</v>
      </c>
      <c r="F31" s="60" t="s">
        <v>1007</v>
      </c>
      <c r="G31" s="56" t="s">
        <v>77</v>
      </c>
      <c r="H31" s="56" t="s">
        <v>449</v>
      </c>
      <c r="I31" s="56" t="s">
        <v>21</v>
      </c>
      <c r="J31" s="57" t="n">
        <v>45852</v>
      </c>
      <c r="K31" s="58" t="n">
        <v>0.5</v>
      </c>
      <c r="L31" s="59" t="n">
        <v>0.0145833333333333</v>
      </c>
      <c r="M31" s="61" t="s">
        <v>1008</v>
      </c>
      <c r="N31" s="5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customFormat="false" ht="22.5" hidden="false" customHeight="true" outlineLevel="0" collapsed="false">
      <c r="A32" s="63" t="n">
        <v>45852</v>
      </c>
      <c r="B32" s="1" t="n">
        <v>14</v>
      </c>
      <c r="C32" s="75" t="str">
        <f aca="false">IF(ISBLANK(A32), "--", PROPER(TEXT(A32, "dddd")))</f>
        <v>Monday</v>
      </c>
      <c r="D32" s="56" t="s">
        <v>145</v>
      </c>
      <c r="E32" s="56" t="s">
        <v>139</v>
      </c>
      <c r="F32" s="60" t="s">
        <v>1009</v>
      </c>
      <c r="G32" s="56" t="s">
        <v>19</v>
      </c>
      <c r="H32" s="56" t="s">
        <v>449</v>
      </c>
      <c r="I32" s="56" t="s">
        <v>21</v>
      </c>
      <c r="J32" s="57" t="n">
        <v>45860</v>
      </c>
      <c r="K32" s="58" t="n">
        <v>1</v>
      </c>
      <c r="L32" s="59" t="n">
        <v>0.0715277777777778</v>
      </c>
      <c r="M32" s="31" t="s">
        <v>1010</v>
      </c>
      <c r="N32" s="5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customFormat="false" ht="22.5" hidden="false" customHeight="true" outlineLevel="0" collapsed="false">
      <c r="A33" s="63" t="n">
        <v>45852</v>
      </c>
      <c r="B33" s="1" t="n">
        <v>14</v>
      </c>
      <c r="C33" s="75" t="str">
        <f aca="false">IF(ISBLANK(A33), "--", PROPER(TEXT(A33, "dddd")))</f>
        <v>Monday</v>
      </c>
      <c r="D33" s="56" t="s">
        <v>134</v>
      </c>
      <c r="E33" s="56" t="s">
        <v>17</v>
      </c>
      <c r="F33" s="60" t="s">
        <v>1011</v>
      </c>
      <c r="G33" s="56" t="s">
        <v>77</v>
      </c>
      <c r="H33" s="56" t="s">
        <v>449</v>
      </c>
      <c r="I33" s="56" t="s">
        <v>21</v>
      </c>
      <c r="J33" s="57" t="n">
        <v>45852</v>
      </c>
      <c r="K33" s="58" t="n">
        <v>1</v>
      </c>
      <c r="L33" s="59" t="n">
        <v>0.0534722222222222</v>
      </c>
      <c r="M33" s="31" t="s">
        <v>1012</v>
      </c>
      <c r="N33" s="5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customFormat="false" ht="22.5" hidden="false" customHeight="true" outlineLevel="0" collapsed="false">
      <c r="A34" s="57" t="n">
        <v>45853</v>
      </c>
      <c r="B34" s="1" t="n">
        <v>14</v>
      </c>
      <c r="C34" s="75" t="str">
        <f aca="false">IF(ISBLANK(A34), "--", PROPER(TEXT(A34, "dddd")))</f>
        <v>Tuesday</v>
      </c>
      <c r="D34" s="56" t="s">
        <v>16</v>
      </c>
      <c r="E34" s="56" t="s">
        <v>17</v>
      </c>
      <c r="F34" s="60" t="s">
        <v>1013</v>
      </c>
      <c r="G34" s="56" t="s">
        <v>19</v>
      </c>
      <c r="H34" s="56" t="s">
        <v>449</v>
      </c>
      <c r="I34" s="56" t="s">
        <v>21</v>
      </c>
      <c r="J34" s="57" t="n">
        <v>45853</v>
      </c>
      <c r="K34" s="58" t="n">
        <v>0.5</v>
      </c>
      <c r="L34" s="59" t="n">
        <v>0.0201388888888889</v>
      </c>
      <c r="M34" s="31" t="s">
        <v>1014</v>
      </c>
      <c r="N34" s="5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customFormat="false" ht="22.5" hidden="false" customHeight="true" outlineLevel="0" collapsed="false">
      <c r="A35" s="63" t="n">
        <v>45854</v>
      </c>
      <c r="B35" s="1" t="n">
        <v>14</v>
      </c>
      <c r="C35" s="75" t="str">
        <f aca="false">IF(ISBLANK(A35), "--", PROPER(TEXT(A35, "dddd")))</f>
        <v>Wednesday</v>
      </c>
      <c r="D35" s="56" t="s">
        <v>310</v>
      </c>
      <c r="E35" s="56" t="s">
        <v>17</v>
      </c>
      <c r="F35" s="60" t="s">
        <v>1015</v>
      </c>
      <c r="G35" s="56" t="s">
        <v>77</v>
      </c>
      <c r="H35" s="56" t="s">
        <v>449</v>
      </c>
      <c r="I35" s="56" t="s">
        <v>21</v>
      </c>
      <c r="J35" s="57" t="n">
        <v>45855</v>
      </c>
      <c r="K35" s="58" t="n">
        <v>1</v>
      </c>
      <c r="L35" s="59" t="n">
        <v>0.0583333333333333</v>
      </c>
      <c r="M35" s="31" t="s">
        <v>1016</v>
      </c>
      <c r="N35" s="5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customFormat="false" ht="22.5" hidden="false" customHeight="true" outlineLevel="0" collapsed="false">
      <c r="A36" s="77" t="n">
        <v>45859</v>
      </c>
      <c r="B36" s="1" t="n">
        <v>15</v>
      </c>
      <c r="C36" s="75" t="str">
        <f aca="false">IF(ISBLANK(A36), "--", PROPER(TEXT(A36, "dddd")))</f>
        <v>Monday</v>
      </c>
      <c r="D36" s="56" t="s">
        <v>16</v>
      </c>
      <c r="E36" s="56" t="s">
        <v>17</v>
      </c>
      <c r="F36" s="60" t="s">
        <v>1017</v>
      </c>
      <c r="G36" s="56" t="s">
        <v>19</v>
      </c>
      <c r="H36" s="56" t="s">
        <v>449</v>
      </c>
      <c r="I36" s="56" t="s">
        <v>21</v>
      </c>
      <c r="J36" s="57" t="n">
        <v>45859</v>
      </c>
      <c r="K36" s="58" t="n">
        <v>0.5</v>
      </c>
      <c r="L36" s="59" t="n">
        <v>0.0111111111111111</v>
      </c>
      <c r="M36" s="61" t="s">
        <v>1018</v>
      </c>
      <c r="N36" s="5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customFormat="false" ht="22.5" hidden="false" customHeight="true" outlineLevel="0" collapsed="false">
      <c r="A37" s="63" t="n">
        <v>45859</v>
      </c>
      <c r="B37" s="1" t="n">
        <v>15</v>
      </c>
      <c r="C37" s="75" t="str">
        <f aca="false">IF(ISBLANK(A37), "--", PROPER(TEXT(A37, "dddd")))</f>
        <v>Monday</v>
      </c>
      <c r="D37" s="56" t="s">
        <v>16</v>
      </c>
      <c r="E37" s="56" t="s">
        <v>17</v>
      </c>
      <c r="F37" s="60" t="s">
        <v>1019</v>
      </c>
      <c r="G37" s="56" t="s">
        <v>19</v>
      </c>
      <c r="H37" s="56" t="s">
        <v>449</v>
      </c>
      <c r="I37" s="56" t="s">
        <v>21</v>
      </c>
      <c r="J37" s="57" t="n">
        <v>45859</v>
      </c>
      <c r="K37" s="58" t="n">
        <v>0.5</v>
      </c>
      <c r="L37" s="59" t="n">
        <v>0.0131944444444444</v>
      </c>
      <c r="M37" s="31" t="s">
        <v>1020</v>
      </c>
      <c r="N37" s="5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customFormat="false" ht="22.5" hidden="false" customHeight="true" outlineLevel="0" collapsed="false">
      <c r="A38" s="63" t="n">
        <v>45859</v>
      </c>
      <c r="B38" s="1" t="n">
        <v>15</v>
      </c>
      <c r="C38" s="75" t="str">
        <f aca="false">IF(ISBLANK(A38), "--", PROPER(TEXT(A38, "dddd")))</f>
        <v>Monday</v>
      </c>
      <c r="D38" s="56" t="s">
        <v>145</v>
      </c>
      <c r="E38" s="56" t="s">
        <v>139</v>
      </c>
      <c r="F38" s="60" t="s">
        <v>1021</v>
      </c>
      <c r="G38" s="56" t="s">
        <v>19</v>
      </c>
      <c r="H38" s="56" t="s">
        <v>141</v>
      </c>
      <c r="I38" s="56" t="s">
        <v>21</v>
      </c>
      <c r="J38" s="57" t="n">
        <v>45860</v>
      </c>
      <c r="K38" s="58" t="n">
        <v>0.5</v>
      </c>
      <c r="L38" s="59" t="n">
        <v>0.01875</v>
      </c>
      <c r="M38" s="31" t="s">
        <v>1022</v>
      </c>
      <c r="N38" s="5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customFormat="false" ht="22.5" hidden="false" customHeight="true" outlineLevel="0" collapsed="false">
      <c r="A39" s="63" t="n">
        <v>45859</v>
      </c>
      <c r="B39" s="1" t="n">
        <v>15</v>
      </c>
      <c r="C39" s="75" t="str">
        <f aca="false">IF(ISBLANK(A39), "--", PROPER(TEXT(A39, "dddd")))</f>
        <v>Monday</v>
      </c>
      <c r="D39" s="56" t="s">
        <v>85</v>
      </c>
      <c r="E39" s="56" t="s">
        <v>17</v>
      </c>
      <c r="F39" s="60" t="s">
        <v>1023</v>
      </c>
      <c r="G39" s="56" t="s">
        <v>19</v>
      </c>
      <c r="H39" s="56" t="s">
        <v>1024</v>
      </c>
      <c r="I39" s="56" t="s">
        <v>21</v>
      </c>
      <c r="J39" s="57" t="n">
        <v>45866</v>
      </c>
      <c r="K39" s="58" t="n">
        <v>3</v>
      </c>
      <c r="L39" s="59" t="n">
        <v>0.25</v>
      </c>
      <c r="M39" s="31" t="s">
        <v>1025</v>
      </c>
      <c r="N39" s="5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customFormat="false" ht="22.5" hidden="false" customHeight="true" outlineLevel="0" collapsed="false">
      <c r="A40" s="63" t="n">
        <v>45860</v>
      </c>
      <c r="B40" s="1" t="n">
        <v>15</v>
      </c>
      <c r="C40" s="75" t="str">
        <f aca="false">IF(ISBLANK(A40), "--", PROPER(TEXT(A40, "dddd")))</f>
        <v>Tuesday</v>
      </c>
      <c r="D40" s="56" t="s">
        <v>145</v>
      </c>
      <c r="E40" s="56" t="s">
        <v>139</v>
      </c>
      <c r="F40" s="60" t="s">
        <v>1026</v>
      </c>
      <c r="G40" s="56" t="s">
        <v>77</v>
      </c>
      <c r="H40" s="56" t="s">
        <v>141</v>
      </c>
      <c r="I40" s="56" t="s">
        <v>21</v>
      </c>
      <c r="J40" s="57" t="n">
        <v>45861</v>
      </c>
      <c r="K40" s="58" t="n">
        <v>1</v>
      </c>
      <c r="L40" s="59" t="n">
        <v>0.0416666666666667</v>
      </c>
      <c r="M40" s="61" t="s">
        <v>1027</v>
      </c>
      <c r="N40" s="5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customFormat="false" ht="22.5" hidden="false" customHeight="true" outlineLevel="0" collapsed="false">
      <c r="A41" s="63" t="n">
        <v>45861</v>
      </c>
      <c r="B41" s="1" t="n">
        <v>15</v>
      </c>
      <c r="C41" s="75" t="str">
        <f aca="false">IF(ISBLANK(A41), "--", PROPER(TEXT(A41, "dddd")))</f>
        <v>Wednesday</v>
      </c>
      <c r="D41" s="56" t="s">
        <v>145</v>
      </c>
      <c r="E41" s="56" t="s">
        <v>139</v>
      </c>
      <c r="F41" s="60" t="s">
        <v>1028</v>
      </c>
      <c r="G41" s="56" t="s">
        <v>19</v>
      </c>
      <c r="H41" s="56" t="s">
        <v>141</v>
      </c>
      <c r="I41" s="56" t="s">
        <v>21</v>
      </c>
      <c r="J41" s="57" t="n">
        <v>45866</v>
      </c>
      <c r="K41" s="58" t="n">
        <v>1</v>
      </c>
      <c r="L41" s="59" t="n">
        <v>0.153472222222222</v>
      </c>
      <c r="M41" s="61" t="s">
        <v>1029</v>
      </c>
      <c r="N41" s="5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customFormat="false" ht="22.5" hidden="false" customHeight="true" outlineLevel="0" collapsed="false">
      <c r="A42" s="63" t="n">
        <v>45861</v>
      </c>
      <c r="B42" s="1" t="n">
        <v>15</v>
      </c>
      <c r="C42" s="75" t="str">
        <f aca="false">IF(ISBLANK(A42), "--", PROPER(TEXT(A42, "dddd")))</f>
        <v>Wednesday</v>
      </c>
      <c r="D42" s="56" t="s">
        <v>145</v>
      </c>
      <c r="E42" s="56" t="s">
        <v>139</v>
      </c>
      <c r="F42" s="60" t="s">
        <v>1030</v>
      </c>
      <c r="G42" s="56" t="s">
        <v>48</v>
      </c>
      <c r="H42" s="56" t="s">
        <v>141</v>
      </c>
      <c r="I42" s="56" t="s">
        <v>21</v>
      </c>
      <c r="J42" s="57" t="n">
        <v>45886</v>
      </c>
      <c r="K42" s="58" t="n">
        <v>8</v>
      </c>
      <c r="L42" s="59" t="n">
        <v>1.14652777777778</v>
      </c>
      <c r="M42" s="31" t="s">
        <v>1031</v>
      </c>
      <c r="N42" s="5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customFormat="false" ht="22.5" hidden="false" customHeight="true" outlineLevel="0" collapsed="false">
      <c r="A43" s="63" t="n">
        <v>45862</v>
      </c>
      <c r="B43" s="1" t="n">
        <v>15</v>
      </c>
      <c r="C43" s="75" t="str">
        <f aca="false">IF(ISBLANK(A43), "--", PROPER(TEXT(A43, "dddd")))</f>
        <v>Thursday</v>
      </c>
      <c r="D43" s="56" t="s">
        <v>145</v>
      </c>
      <c r="E43" s="56" t="s">
        <v>139</v>
      </c>
      <c r="F43" s="60" t="s">
        <v>1032</v>
      </c>
      <c r="G43" s="56" t="s">
        <v>19</v>
      </c>
      <c r="H43" s="56" t="s">
        <v>141</v>
      </c>
      <c r="I43" s="56" t="s">
        <v>21</v>
      </c>
      <c r="J43" s="57" t="n">
        <v>45864</v>
      </c>
      <c r="K43" s="58" t="n">
        <v>1</v>
      </c>
      <c r="L43" s="59" t="n">
        <v>0.0673611111111111</v>
      </c>
      <c r="M43" s="61" t="s">
        <v>1033</v>
      </c>
      <c r="N43" s="5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customFormat="false" ht="22.5" hidden="false" customHeight="true" outlineLevel="0" collapsed="false">
      <c r="A44" s="63" t="n">
        <v>45862</v>
      </c>
      <c r="B44" s="1" t="n">
        <v>15</v>
      </c>
      <c r="C44" s="75" t="str">
        <f aca="false">IF(ISBLANK(A44), "--", PROPER(TEXT(A44, "dddd")))</f>
        <v>Thursday</v>
      </c>
      <c r="D44" s="56" t="s">
        <v>130</v>
      </c>
      <c r="E44" s="56" t="s">
        <v>710</v>
      </c>
      <c r="F44" s="60" t="s">
        <v>1034</v>
      </c>
      <c r="G44" s="56" t="s">
        <v>19</v>
      </c>
      <c r="H44" s="56" t="s">
        <v>1035</v>
      </c>
      <c r="I44" s="56" t="s">
        <v>21</v>
      </c>
      <c r="J44" s="57" t="n">
        <v>45868</v>
      </c>
      <c r="K44" s="58" t="n">
        <v>3</v>
      </c>
      <c r="L44" s="59" t="n">
        <v>0.189583333333333</v>
      </c>
      <c r="M44" s="61" t="s">
        <v>1036</v>
      </c>
      <c r="N44" s="5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customFormat="false" ht="22.5" hidden="false" customHeight="true" outlineLevel="0" collapsed="false">
      <c r="A45" s="63" t="n">
        <v>45862</v>
      </c>
      <c r="B45" s="1" t="n">
        <v>15</v>
      </c>
      <c r="C45" s="75" t="str">
        <f aca="false">IF(ISBLANK(A45), "--", PROPER(TEXT(A45, "dddd")))</f>
        <v>Thursday</v>
      </c>
      <c r="D45" s="56" t="s">
        <v>145</v>
      </c>
      <c r="E45" s="56" t="s">
        <v>139</v>
      </c>
      <c r="F45" s="60" t="s">
        <v>1037</v>
      </c>
      <c r="G45" s="56" t="s">
        <v>19</v>
      </c>
      <c r="H45" s="56" t="s">
        <v>141</v>
      </c>
      <c r="I45" s="56" t="s">
        <v>21</v>
      </c>
      <c r="J45" s="57" t="n">
        <v>45862</v>
      </c>
      <c r="K45" s="58" t="n">
        <v>0.5</v>
      </c>
      <c r="L45" s="59" t="n">
        <v>0.00555555555555556</v>
      </c>
      <c r="M45" s="61" t="s">
        <v>1038</v>
      </c>
      <c r="N45" s="5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customFormat="false" ht="22.5" hidden="false" customHeight="true" outlineLevel="0" collapsed="false">
      <c r="A46" s="63" t="n">
        <v>45866</v>
      </c>
      <c r="B46" s="1" t="n">
        <v>15</v>
      </c>
      <c r="C46" s="75" t="str">
        <f aca="false">IF(ISBLANK(A46), "--", PROPER(TEXT(A46, "dddd")))</f>
        <v>Monday</v>
      </c>
      <c r="D46" s="56" t="s">
        <v>46</v>
      </c>
      <c r="E46" s="56" t="s">
        <v>17</v>
      </c>
      <c r="F46" s="60" t="s">
        <v>1039</v>
      </c>
      <c r="G46" s="56" t="s">
        <v>19</v>
      </c>
      <c r="H46" s="56" t="s">
        <v>449</v>
      </c>
      <c r="I46" s="56" t="s">
        <v>21</v>
      </c>
      <c r="J46" s="57" t="n">
        <v>45866</v>
      </c>
      <c r="K46" s="58" t="n">
        <v>1</v>
      </c>
      <c r="L46" s="59" t="n">
        <v>0.0166666666666667</v>
      </c>
      <c r="M46" s="31" t="s">
        <v>1040</v>
      </c>
      <c r="N46" s="5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customFormat="false" ht="22.5" hidden="false" customHeight="true" outlineLevel="0" collapsed="false">
      <c r="A47" s="63" t="n">
        <v>45866</v>
      </c>
      <c r="B47" s="1" t="n">
        <v>15</v>
      </c>
      <c r="C47" s="75" t="str">
        <f aca="false">IF(ISBLANK(A47), "--", PROPER(TEXT(A47, "dddd")))</f>
        <v>Monday</v>
      </c>
      <c r="D47" s="56" t="s">
        <v>145</v>
      </c>
      <c r="E47" s="56" t="s">
        <v>139</v>
      </c>
      <c r="F47" s="60" t="s">
        <v>1041</v>
      </c>
      <c r="G47" s="56" t="s">
        <v>19</v>
      </c>
      <c r="H47" s="56" t="s">
        <v>141</v>
      </c>
      <c r="I47" s="56" t="s">
        <v>21</v>
      </c>
      <c r="J47" s="57" t="n">
        <v>45866</v>
      </c>
      <c r="K47" s="58" t="n">
        <v>1</v>
      </c>
      <c r="L47" s="59" t="n">
        <v>0.0423611111111111</v>
      </c>
      <c r="M47" s="31" t="s">
        <v>1042</v>
      </c>
      <c r="N47" s="5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customFormat="false" ht="22.5" hidden="false" customHeight="true" outlineLevel="0" collapsed="false">
      <c r="A48" s="63" t="n">
        <v>45866</v>
      </c>
      <c r="B48" s="1" t="n">
        <v>15</v>
      </c>
      <c r="C48" s="75" t="str">
        <f aca="false">IF(ISBLANK(A48), "--", PROPER(TEXT(A48, "dddd")))</f>
        <v>Monday</v>
      </c>
      <c r="D48" s="56" t="s">
        <v>145</v>
      </c>
      <c r="E48" s="56" t="s">
        <v>139</v>
      </c>
      <c r="F48" s="60" t="s">
        <v>1043</v>
      </c>
      <c r="G48" s="56" t="s">
        <v>48</v>
      </c>
      <c r="H48" s="56" t="s">
        <v>141</v>
      </c>
      <c r="I48" s="56" t="s">
        <v>21</v>
      </c>
      <c r="J48" s="57" t="n">
        <v>45866</v>
      </c>
      <c r="K48" s="58" t="n">
        <v>1</v>
      </c>
      <c r="L48" s="59" t="n">
        <v>0.0277777777777778</v>
      </c>
      <c r="M48" s="31" t="s">
        <v>1044</v>
      </c>
      <c r="N48" s="5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customFormat="false" ht="22.5" hidden="false" customHeight="true" outlineLevel="0" collapsed="false">
      <c r="A49" s="63" t="n">
        <v>45866</v>
      </c>
      <c r="B49" s="1" t="n">
        <v>15</v>
      </c>
      <c r="C49" s="75" t="str">
        <f aca="false">IF(ISBLANK(A49), "--", PROPER(TEXT(A49, "dddd")))</f>
        <v>Monday</v>
      </c>
      <c r="D49" s="56" t="s">
        <v>145</v>
      </c>
      <c r="E49" s="56" t="s">
        <v>139</v>
      </c>
      <c r="F49" s="60" t="s">
        <v>1045</v>
      </c>
      <c r="G49" s="56" t="s">
        <v>48</v>
      </c>
      <c r="H49" s="56" t="s">
        <v>141</v>
      </c>
      <c r="I49" s="56" t="s">
        <v>21</v>
      </c>
      <c r="J49" s="57" t="n">
        <v>45866</v>
      </c>
      <c r="K49" s="58" t="n">
        <v>1</v>
      </c>
      <c r="L49" s="59" t="n">
        <v>0.04375</v>
      </c>
      <c r="M49" s="31" t="s">
        <v>1046</v>
      </c>
      <c r="N49" s="5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customFormat="false" ht="22.5" hidden="false" customHeight="true" outlineLevel="0" collapsed="false">
      <c r="A50" s="63" t="n">
        <v>45867</v>
      </c>
      <c r="B50" s="1" t="n">
        <v>15</v>
      </c>
      <c r="C50" s="75" t="str">
        <f aca="false">IF(ISBLANK(A50), "--", PROPER(TEXT(A50, "dddd")))</f>
        <v>Tuesday</v>
      </c>
      <c r="D50" s="56" t="s">
        <v>130</v>
      </c>
      <c r="E50" s="56" t="s">
        <v>17</v>
      </c>
      <c r="F50" s="60" t="s">
        <v>1047</v>
      </c>
      <c r="G50" s="56" t="s">
        <v>19</v>
      </c>
      <c r="H50" s="56" t="s">
        <v>449</v>
      </c>
      <c r="I50" s="56" t="s">
        <v>21</v>
      </c>
      <c r="J50" s="57" t="n">
        <v>45867</v>
      </c>
      <c r="K50" s="58" t="n">
        <v>1</v>
      </c>
      <c r="L50" s="59" t="n">
        <v>0.102777777777778</v>
      </c>
      <c r="M50" s="31" t="s">
        <v>1048</v>
      </c>
      <c r="N50" s="5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</row>
    <row r="51" customFormat="false" ht="22.5" hidden="false" customHeight="true" outlineLevel="0" collapsed="false">
      <c r="A51" s="63" t="n">
        <v>45867</v>
      </c>
      <c r="B51" s="1" t="n">
        <v>15</v>
      </c>
      <c r="C51" s="75" t="str">
        <f aca="false">IF(ISBLANK(A51), "--", PROPER(TEXT(A51, "dddd")))</f>
        <v>Tuesday</v>
      </c>
      <c r="D51" s="56" t="s">
        <v>104</v>
      </c>
      <c r="E51" s="56" t="s">
        <v>17</v>
      </c>
      <c r="F51" s="60" t="s">
        <v>1049</v>
      </c>
      <c r="G51" s="56" t="s">
        <v>19</v>
      </c>
      <c r="H51" s="56" t="s">
        <v>449</v>
      </c>
      <c r="I51" s="56" t="s">
        <v>21</v>
      </c>
      <c r="J51" s="57" t="n">
        <v>45867</v>
      </c>
      <c r="K51" s="58" t="n">
        <v>0.5</v>
      </c>
      <c r="L51" s="59" t="n">
        <v>0.0215277777777778</v>
      </c>
      <c r="M51" s="31" t="s">
        <v>1050</v>
      </c>
      <c r="N51" s="5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 customFormat="false" ht="22.5" hidden="false" customHeight="true" outlineLevel="0" collapsed="false">
      <c r="A52" s="63" t="n">
        <v>45869</v>
      </c>
      <c r="B52" s="1" t="n">
        <v>15</v>
      </c>
      <c r="C52" s="75" t="str">
        <f aca="false">IF(ISBLANK(A52), "--", PROPER(TEXT(A52, "dddd")))</f>
        <v>Thursday</v>
      </c>
      <c r="D52" s="56" t="s">
        <v>145</v>
      </c>
      <c r="E52" s="56" t="s">
        <v>139</v>
      </c>
      <c r="F52" s="60" t="s">
        <v>1051</v>
      </c>
      <c r="G52" s="56" t="s">
        <v>48</v>
      </c>
      <c r="H52" s="56" t="s">
        <v>449</v>
      </c>
      <c r="I52" s="56" t="s">
        <v>21</v>
      </c>
      <c r="J52" s="57" t="n">
        <v>45869</v>
      </c>
      <c r="K52" s="58" t="n">
        <v>0.5</v>
      </c>
      <c r="L52" s="59" t="n">
        <v>0.025</v>
      </c>
      <c r="M52" s="31" t="s">
        <v>1052</v>
      </c>
      <c r="N52" s="5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 customFormat="false" ht="22.5" hidden="false" customHeight="true" outlineLevel="0" collapsed="false">
      <c r="A53" s="63" t="n">
        <v>45869</v>
      </c>
      <c r="B53" s="1" t="n">
        <v>15</v>
      </c>
      <c r="C53" s="75" t="str">
        <f aca="false">IF(ISBLANK(A53), "--", PROPER(TEXT(A53, "dddd")))</f>
        <v>Thursday</v>
      </c>
      <c r="D53" s="56" t="s">
        <v>145</v>
      </c>
      <c r="E53" s="56" t="s">
        <v>139</v>
      </c>
      <c r="F53" s="60" t="s">
        <v>1053</v>
      </c>
      <c r="G53" s="56" t="s">
        <v>48</v>
      </c>
      <c r="H53" s="56" t="s">
        <v>449</v>
      </c>
      <c r="I53" s="56" t="s">
        <v>21</v>
      </c>
      <c r="J53" s="57" t="n">
        <v>45870</v>
      </c>
      <c r="K53" s="58" t="n">
        <v>0.5</v>
      </c>
      <c r="L53" s="59" t="n">
        <v>0.04375</v>
      </c>
      <c r="M53" s="31" t="s">
        <v>1054</v>
      </c>
      <c r="N53" s="5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 customFormat="false" ht="22.5" hidden="false" customHeight="true" outlineLevel="0" collapsed="false">
      <c r="A54" s="63" t="n">
        <v>45869</v>
      </c>
      <c r="B54" s="1" t="n">
        <v>15</v>
      </c>
      <c r="C54" s="75" t="str">
        <f aca="false">IF(ISBLANK(A54), "--", PROPER(TEXT(A54, "dddd")))</f>
        <v>Thursday</v>
      </c>
      <c r="D54" s="56" t="s">
        <v>16</v>
      </c>
      <c r="E54" s="56" t="s">
        <v>17</v>
      </c>
      <c r="F54" s="60" t="s">
        <v>1055</v>
      </c>
      <c r="G54" s="56" t="s">
        <v>19</v>
      </c>
      <c r="H54" s="56" t="s">
        <v>449</v>
      </c>
      <c r="I54" s="56" t="s">
        <v>21</v>
      </c>
      <c r="J54" s="57" t="n">
        <v>45870</v>
      </c>
      <c r="K54" s="58" t="n">
        <v>0.5</v>
      </c>
      <c r="L54" s="59" t="n">
        <v>0.0104166666666667</v>
      </c>
      <c r="M54" s="31" t="s">
        <v>1056</v>
      </c>
      <c r="N54" s="5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</row>
    <row r="55" customFormat="false" ht="22.5" hidden="false" customHeight="true" outlineLevel="0" collapsed="false">
      <c r="A55" s="63" t="n">
        <v>45869</v>
      </c>
      <c r="B55" s="1" t="n">
        <v>15</v>
      </c>
      <c r="C55" s="75" t="str">
        <f aca="false">IF(ISBLANK(A55), "--", PROPER(TEXT(A55, "dddd")))</f>
        <v>Thursday</v>
      </c>
      <c r="D55" s="56" t="s">
        <v>16</v>
      </c>
      <c r="E55" s="56" t="s">
        <v>17</v>
      </c>
      <c r="F55" s="60" t="s">
        <v>1057</v>
      </c>
      <c r="G55" s="56" t="s">
        <v>77</v>
      </c>
      <c r="H55" s="56" t="s">
        <v>449</v>
      </c>
      <c r="I55" s="56" t="s">
        <v>21</v>
      </c>
      <c r="J55" s="57" t="n">
        <v>45870</v>
      </c>
      <c r="K55" s="58" t="n">
        <v>1</v>
      </c>
      <c r="L55" s="59" t="n">
        <v>0.0423611111111111</v>
      </c>
      <c r="M55" s="31" t="s">
        <v>1058</v>
      </c>
      <c r="N55" s="56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</row>
    <row r="56" customFormat="false" ht="22.5" hidden="false" customHeight="true" outlineLevel="0" collapsed="false">
      <c r="A56" s="63" t="n">
        <v>45869</v>
      </c>
      <c r="B56" s="1" t="n">
        <v>15</v>
      </c>
      <c r="C56" s="75" t="str">
        <f aca="false">IF(ISBLANK(A56), "--", PROPER(TEXT(A56, "dddd")))</f>
        <v>Thursday</v>
      </c>
      <c r="D56" s="56" t="s">
        <v>145</v>
      </c>
      <c r="E56" s="56" t="s">
        <v>139</v>
      </c>
      <c r="F56" s="60" t="s">
        <v>1059</v>
      </c>
      <c r="G56" s="56" t="s">
        <v>48</v>
      </c>
      <c r="H56" s="56" t="s">
        <v>141</v>
      </c>
      <c r="I56" s="56" t="s">
        <v>21</v>
      </c>
      <c r="J56" s="57" t="n">
        <v>45870</v>
      </c>
      <c r="K56" s="58" t="n">
        <v>1</v>
      </c>
      <c r="L56" s="59" t="n">
        <v>0.0694444444444445</v>
      </c>
      <c r="M56" s="31" t="s">
        <v>1060</v>
      </c>
      <c r="N56" s="56"/>
    </row>
    <row r="57" customFormat="false" ht="15.7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</row>
    <row r="58" customFormat="false" ht="15.75" hidden="false" customHeight="false" outlineLevel="0" collapsed="false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</row>
    <row r="59" customFormat="false" ht="15.75" hidden="false" customHeight="false" outlineLevel="0" collapsed="false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</row>
    <row r="60" customFormat="false" ht="15.75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customFormat="false" ht="15.75" hidden="false" customHeight="false" outlineLevel="0" collapsed="false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 customFormat="false" ht="15.7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 customFormat="false" ht="15.7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</row>
    <row r="64" customFormat="false" ht="15.75" hidden="false" customHeight="false" outlineLevel="0" collapsed="false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</row>
    <row r="65" customFormat="false" ht="15.7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 customFormat="false" ht="15.7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</row>
    <row r="914" customFormat="false" ht="15.75" hidden="false" customHeight="false" outlineLevel="0" collapsed="false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6"/>
      <c r="L914" s="44"/>
      <c r="M914" s="44"/>
      <c r="N914" s="44"/>
    </row>
    <row r="915" customFormat="false" ht="15.75" hidden="false" customHeight="false" outlineLevel="0" collapsed="false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6"/>
      <c r="L915" s="44"/>
      <c r="M915" s="44"/>
      <c r="N915" s="44"/>
    </row>
    <row r="916" customFormat="false" ht="15.75" hidden="false" customHeight="false" outlineLevel="0" collapsed="false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6"/>
      <c r="L916" s="44"/>
      <c r="M916" s="44"/>
      <c r="N916" s="44"/>
    </row>
    <row r="917" customFormat="false" ht="15.75" hidden="false" customHeight="false" outlineLevel="0" collapsed="false">
      <c r="B917" s="44"/>
      <c r="K917" s="46"/>
    </row>
    <row r="918" customFormat="false" ht="15.75" hidden="false" customHeight="false" outlineLevel="0" collapsed="false">
      <c r="B918" s="44"/>
      <c r="K918" s="46"/>
    </row>
    <row r="919" customFormat="false" ht="15.75" hidden="false" customHeight="false" outlineLevel="0" collapsed="false">
      <c r="B919" s="44"/>
      <c r="K919" s="46"/>
    </row>
    <row r="920" customFormat="false" ht="15.75" hidden="false" customHeight="false" outlineLevel="0" collapsed="false">
      <c r="B920" s="44"/>
      <c r="K920" s="46"/>
    </row>
    <row r="921" customFormat="false" ht="15.75" hidden="false" customHeight="false" outlineLevel="0" collapsed="false">
      <c r="B921" s="44"/>
      <c r="K921" s="46"/>
    </row>
    <row r="922" customFormat="false" ht="15.75" hidden="false" customHeight="false" outlineLevel="0" collapsed="false">
      <c r="B922" s="44"/>
      <c r="K922" s="46"/>
    </row>
    <row r="923" customFormat="false" ht="15.75" hidden="false" customHeight="false" outlineLevel="0" collapsed="false">
      <c r="B923" s="44"/>
      <c r="K923" s="46"/>
    </row>
    <row r="924" customFormat="false" ht="15.75" hidden="false" customHeight="false" outlineLevel="0" collapsed="false">
      <c r="B924" s="44"/>
      <c r="K924" s="46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false" outlineLevel="0" collapsed="false">
      <c r="B936" s="44"/>
      <c r="K936" s="46"/>
    </row>
    <row r="937" customFormat="false" ht="15.75" hidden="false" customHeight="false" outlineLevel="0" collapsed="false">
      <c r="B937" s="44"/>
      <c r="K937" s="46"/>
    </row>
    <row r="938" customFormat="false" ht="15.75" hidden="false" customHeight="false" outlineLevel="0" collapsed="false">
      <c r="B938" s="44"/>
      <c r="K938" s="46"/>
    </row>
    <row r="939" customFormat="false" ht="15.75" hidden="false" customHeight="false" outlineLevel="0" collapsed="false">
      <c r="B939" s="44"/>
      <c r="K939" s="46"/>
    </row>
    <row r="940" customFormat="false" ht="15.75" hidden="false" customHeight="false" outlineLevel="0" collapsed="false">
      <c r="B940" s="44"/>
      <c r="K940" s="46"/>
    </row>
    <row r="941" customFormat="false" ht="15.75" hidden="false" customHeight="false" outlineLevel="0" collapsed="false">
      <c r="B941" s="44"/>
      <c r="K941" s="46"/>
    </row>
    <row r="942" customFormat="false" ht="15.75" hidden="false" customHeight="false" outlineLevel="0" collapsed="false">
      <c r="B942" s="44"/>
      <c r="K942" s="46"/>
    </row>
    <row r="943" customFormat="false" ht="15.75" hidden="false" customHeight="false" outlineLevel="0" collapsed="false">
      <c r="B943" s="44"/>
      <c r="K943" s="46"/>
    </row>
    <row r="944" customFormat="false" ht="15.75" hidden="false" customHeight="false" outlineLevel="0" collapsed="false">
      <c r="B944" s="44"/>
      <c r="K944" s="46"/>
    </row>
    <row r="945" customFormat="false" ht="15.75" hidden="false" customHeight="false" outlineLevel="0" collapsed="false">
      <c r="B945" s="44"/>
      <c r="K945" s="46"/>
    </row>
    <row r="946" customFormat="false" ht="15.75" hidden="false" customHeight="false" outlineLevel="0" collapsed="false">
      <c r="B946" s="44"/>
      <c r="K946" s="46"/>
    </row>
    <row r="947" customFormat="false" ht="15.75" hidden="false" customHeight="false" outlineLevel="0" collapsed="false">
      <c r="B947" s="44"/>
      <c r="K947" s="46"/>
    </row>
    <row r="948" customFormat="false" ht="15.75" hidden="false" customHeight="false" outlineLevel="0" collapsed="false">
      <c r="B948" s="44"/>
      <c r="K948" s="46"/>
    </row>
    <row r="949" customFormat="false" ht="15.75" hidden="false" customHeight="false" outlineLevel="0" collapsed="false">
      <c r="B949" s="44"/>
      <c r="K949" s="46"/>
    </row>
    <row r="950" customFormat="false" ht="15.75" hidden="false" customHeight="false" outlineLevel="0" collapsed="false">
      <c r="B950" s="44"/>
      <c r="K950" s="46"/>
    </row>
    <row r="951" customFormat="false" ht="15.75" hidden="false" customHeight="false" outlineLevel="0" collapsed="false">
      <c r="B951" s="44"/>
      <c r="K951" s="46"/>
    </row>
    <row r="952" customFormat="false" ht="15.75" hidden="false" customHeight="false" outlineLevel="0" collapsed="false">
      <c r="B952" s="44"/>
      <c r="K952" s="46"/>
    </row>
    <row r="953" customFormat="false" ht="15.75" hidden="false" customHeight="false" outlineLevel="0" collapsed="false">
      <c r="B953" s="44"/>
      <c r="K953" s="46"/>
    </row>
    <row r="954" customFormat="false" ht="15.75" hidden="false" customHeight="true" outlineLevel="0" collapsed="false">
      <c r="B954" s="44"/>
    </row>
    <row r="955" customFormat="false" ht="15.75" hidden="false" customHeight="true" outlineLevel="0" collapsed="false">
      <c r="B955" s="44"/>
    </row>
    <row r="956" customFormat="false" ht="15.75" hidden="false" customHeight="true" outlineLevel="0" collapsed="false">
      <c r="B956" s="44"/>
    </row>
    <row r="957" customFormat="false" ht="15.75" hidden="false" customHeight="true" outlineLevel="0" collapsed="false">
      <c r="B957" s="44"/>
    </row>
    <row r="958" customFormat="false" ht="15.75" hidden="false" customHeight="true" outlineLevel="0" collapsed="false">
      <c r="B958" s="44"/>
    </row>
    <row r="959" customFormat="false" ht="15.75" hidden="false" customHeight="true" outlineLevel="0" collapsed="false">
      <c r="B959" s="44"/>
    </row>
    <row r="960" customFormat="false" ht="15.75" hidden="false" customHeight="true" outlineLevel="0" collapsed="false">
      <c r="B960" s="44"/>
    </row>
    <row r="961" customFormat="false" ht="15.75" hidden="false" customHeight="true" outlineLevel="0" collapsed="false">
      <c r="B961" s="44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9">
    <dataValidation allowBlank="true" errorStyle="stop" operator="between" showDropDown="true" showErrorMessage="false" showInputMessage="false" sqref="F2:F56" type="none">
      <formula1>0</formula1>
      <formula2>0</formula2>
    </dataValidation>
    <dataValidation allowBlank="true" errorStyle="stop" operator="between" showDropDown="false" showErrorMessage="true" showInputMessage="false" sqref="C2:C56" type="list">
      <formula1>"Martes,Miércoles,Jueves,Viernes,Lunes,Domingo,--,Sabado "</formula1>
      <formula2>0</formula2>
    </dataValidation>
    <dataValidation allowBlank="true" errorStyle="stop" operator="between" showDropDown="false" showErrorMessage="true" showInputMessage="false" sqref="G2:G56" type="list">
      <formula1>"Alta,Normal,Urgente,Baja,--"</formula1>
      <formula2>0</formula2>
    </dataValidation>
    <dataValidation allowBlank="true" errorStyle="stop" operator="between" showDropDown="true" showErrorMessage="false" showInputMessage="false" sqref="A2:A56 J2:J56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H2:H56" type="list">
      <formula1>"Iván,Carlos,Gustavo,Diego,Andrés,JC,José,Héctor,Mateo,--,Blue,Carlos M,Johan,Fernando,Elkin ,Felipe,Camilo"</formula1>
      <formula2>0</formula2>
    </dataValidation>
    <dataValidation allowBlank="true" errorStyle="stop" operator="between" showDropDown="false" showErrorMessage="false" showInputMessage="false" sqref="I2:I56" type="list">
      <formula1>"Closed,Ready for testing ,Open,Under review,Partially Done,In progress,Approved,--,Needs more work,Deploy to production,Code Approved"</formula1>
      <formula2>0</formula2>
    </dataValidation>
    <dataValidation allowBlank="true" errorStyle="stop" operator="between" showDropDown="true" showErrorMessage="false" showInputMessage="false" sqref="K2:K56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E2:E56" type="list">
      <formula1>"Ajustes,Soporte,Mejoras,Corrección,Configuraciones,Revisión,--,Pagina Web,IT,Error,Blue,SOLICITUD ,PENDIENTE,Cotización ,Production "</formula1>
      <formula2>0</formula2>
    </dataValidation>
    <dataValidation allowBlank="true" errorStyle="stop" operator="between" showDropDown="false" showErrorMessage="false" showInputMessage="false" sqref="D2:D56" type="list">
      <formula1>"Faktur,Backpro,Zuckerman,Facialart,Dejusticia,Happycinamon,Nulab,Ncarb,ECOS,IDK,BMS,--,Swapps,WWilson,Tabby,Smart Web Apps,Comfinagro,IMC,Geosig,Soluciones Cientificas"</formula1>
      <formula2>0</formula2>
    </dataValidation>
  </dataValidations>
  <hyperlinks>
    <hyperlink ref="M2" r:id="rId2" display="https://app.clickup.com/t/86b5hr8nq"/>
    <hyperlink ref="M3" r:id="rId3" display="https://app.clickup.com/t/86b5huhc7"/>
    <hyperlink ref="M4" r:id="rId4" display="https://app.clickup.com/t/86b5ht2vw"/>
    <hyperlink ref="M5" r:id="rId5" display="https://app.clickup.com/t/86b5j7ffd"/>
    <hyperlink ref="M6" r:id="rId6" display="https://app.clickup.com/t/86b5jhvt0"/>
    <hyperlink ref="M7" r:id="rId7" display="https://app.clickup.com/t/86b5jbqvn"/>
    <hyperlink ref="M8" r:id="rId8" display="https://app.clickup.com/t/86b5jqrgc"/>
    <hyperlink ref="M9" r:id="rId9" display="https://app.clickup.com/t/86b5jxn83"/>
    <hyperlink ref="M10" r:id="rId10" display="https://app.clickup.com/t/86b5k46zf"/>
    <hyperlink ref="M11" r:id="rId11" display="https://app.clickup.com/t/86b5k4rk8"/>
    <hyperlink ref="M12" r:id="rId12" display="https://app.clickup.com/t/86b5kuaa2"/>
    <hyperlink ref="M13" r:id="rId13" display="https://app.clickup.com/t/86b5kvpwj"/>
    <hyperlink ref="M14" r:id="rId14" display="https://app.clickup.com/t/86b5knqaf"/>
    <hyperlink ref="M15" r:id="rId15" display="https://app.clickup.com/t/86b5knqah"/>
    <hyperlink ref="M16" r:id="rId16" display="https://app.clickup.com/t/86b5knqam"/>
    <hyperlink ref="M17" r:id="rId17" display="https://app.clickup.com/t/86b5knqat"/>
    <hyperlink ref="M18" r:id="rId18" display="https://app.clickup.com/t/86b5ky00x"/>
    <hyperlink ref="M19" r:id="rId19" display="https://app.clickup.com/t/86b5kxkza"/>
    <hyperlink ref="M20" r:id="rId20" display="https://app.clickup.com/t/86b5kykzm"/>
    <hyperlink ref="M21" r:id="rId21" display="https://app.clickup.com/t/86b5m6hjj"/>
    <hyperlink ref="M22" r:id="rId22" display="https://app.clickup.com/t/86b5mjbwj"/>
    <hyperlink ref="M23" r:id="rId23" display="https://app.clickup.com/t/86b5mntbq"/>
    <hyperlink ref="M24" r:id="rId24" display="https://app.clickup.com/t/86b5mmv9u"/>
    <hyperlink ref="M25" r:id="rId25" display="https://app.clickup.com/t/86b5nbr64"/>
    <hyperlink ref="M26" r:id="rId26" display="https://app.clickup.com/t/86b5nbz27"/>
    <hyperlink ref="M27" r:id="rId27" display="https://app.clickup.com/t/454056/ZL-1598"/>
    <hyperlink ref="M28" r:id="rId28" display="https://app.clickup.com/t/86b5nnp10"/>
    <hyperlink ref="M29" r:id="rId29" display="https://app.clickup.com/t/86b5nqx8e"/>
    <hyperlink ref="M30" r:id="rId30" display="https://app.clickup.com/t/454056/SLA-1615"/>
    <hyperlink ref="M31" r:id="rId31" display="https://app.clickup.com/t/86b5p7u0b"/>
    <hyperlink ref="M32" r:id="rId32" display="https://app.clickup.com/t/86b5p9y2g"/>
    <hyperlink ref="M33" r:id="rId33" display="https://app.clickup.com/t/86b5pc95b"/>
    <hyperlink ref="M34" r:id="rId34" display="https://app.clickup.com/t/86b5pqdrt"/>
    <hyperlink ref="M35" r:id="rId35" display="https://app.clickup.com/t/86b5q4yak"/>
    <hyperlink ref="M36" r:id="rId36" display="https://app.clickup.com/t/86b5rrqa6"/>
    <hyperlink ref="M37" r:id="rId37" display="https://app.clickup.com/t/86b5rrruk"/>
    <hyperlink ref="M38" r:id="rId38" display="https://app.clickup.com/t/86b5t8e5k"/>
    <hyperlink ref="M39" r:id="rId39" display="https://app.clickup.com/t/86b5rg74t"/>
    <hyperlink ref="M40" r:id="rId40" display="https://app.clickup.com/t/86b5tap3z"/>
    <hyperlink ref="M41" r:id="rId41" display="https://app.clickup.com/t/86b5thd3g"/>
    <hyperlink ref="M42" r:id="rId42" display="https://app.clickup.com/t/86b5the6m"/>
    <hyperlink ref="M43" r:id="rId43" display="https://app.clickup.com/t/86b5tzba9"/>
    <hyperlink ref="M44" r:id="rId44" display="https://app.clickup.com/t/86b5u33yy"/>
    <hyperlink ref="M45" r:id="rId45" display="https://app.clickup.com/t/86b5u2m2p"/>
    <hyperlink ref="M46" r:id="rId46" display="https://app.clickup.com/t/86b5wj0b1"/>
    <hyperlink ref="M47" r:id="rId47" display="https://app.clickup.com/t/86b5w8g5a"/>
    <hyperlink ref="M48" r:id="rId48" display="https://app.clickup.com/t/86b5wggx0"/>
    <hyperlink ref="M49" r:id="rId49" display="https://app.clickup.com/t/86b5whrr8"/>
    <hyperlink ref="M50" r:id="rId50" display="https://app.clickup.com/t/86b5x7bfj"/>
    <hyperlink ref="M51" r:id="rId51" display="https://app.clickup.com/t/454056/ZL-1603"/>
    <hyperlink ref="M52" r:id="rId52" display="https://app.clickup.com/t/86b5yvz4q"/>
    <hyperlink ref="M53" r:id="rId53" display="https://app.clickup.com/t/86b5yvkmm"/>
    <hyperlink ref="M54" r:id="rId54" display="https://app.clickup.com/t/86b5z279d"/>
    <hyperlink ref="M55" r:id="rId55" display="https://app.clickup.com/t/86b5z2axq"/>
    <hyperlink ref="M56" r:id="rId56" display="https://app.clickup.com/t/86b5z1u0v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57"/>
  <tableParts>
    <tablePart r:id="rId5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0" activePane="bottomLeft" state="frozen"/>
      <selection pane="topLeft" activeCell="A1" activeCellId="0" sqref="A1"/>
      <selection pane="bottomLeft" activeCell="B26" activeCellId="0" sqref="B2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3.75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  <col collapsed="false" customWidth="true" hidden="false" outlineLevel="0" max="14" min="14" style="1" width="64.89"/>
  </cols>
  <sheetData>
    <row r="1" customFormat="false" ht="22.5" hidden="false" customHeight="true" outlineLevel="0" collapsed="false">
      <c r="A1" s="50" t="s">
        <v>842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1" t="s">
        <v>14</v>
      </c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customFormat="false" ht="22.5" hidden="false" customHeight="true" outlineLevel="0" collapsed="false">
      <c r="A2" s="57" t="n">
        <v>45870</v>
      </c>
      <c r="B2" s="1" t="n">
        <v>15</v>
      </c>
      <c r="C2" s="56" t="s">
        <v>36</v>
      </c>
      <c r="D2" s="56" t="s">
        <v>156</v>
      </c>
      <c r="E2" s="56" t="s">
        <v>17</v>
      </c>
      <c r="F2" s="60" t="s">
        <v>1061</v>
      </c>
      <c r="G2" s="56" t="s">
        <v>19</v>
      </c>
      <c r="H2" s="56" t="s">
        <v>34</v>
      </c>
      <c r="I2" s="56" t="s">
        <v>21</v>
      </c>
      <c r="J2" s="57" t="n">
        <v>45870</v>
      </c>
      <c r="K2" s="58" t="n">
        <v>2</v>
      </c>
      <c r="L2" s="59" t="n">
        <v>0.1625</v>
      </c>
      <c r="M2" s="61" t="s">
        <v>1062</v>
      </c>
    </row>
    <row r="3" customFormat="false" ht="22.5" hidden="false" customHeight="true" outlineLevel="0" collapsed="false">
      <c r="A3" s="57" t="n">
        <v>45870</v>
      </c>
      <c r="B3" s="1" t="n">
        <v>15</v>
      </c>
      <c r="C3" s="56" t="s">
        <v>36</v>
      </c>
      <c r="D3" s="56" t="s">
        <v>134</v>
      </c>
      <c r="E3" s="56" t="s">
        <v>17</v>
      </c>
      <c r="F3" s="60" t="s">
        <v>1063</v>
      </c>
      <c r="G3" s="56" t="s">
        <v>19</v>
      </c>
      <c r="H3" s="56" t="s">
        <v>449</v>
      </c>
      <c r="I3" s="56" t="s">
        <v>21</v>
      </c>
      <c r="J3" s="57" t="n">
        <v>45873</v>
      </c>
      <c r="K3" s="58" t="n">
        <v>1</v>
      </c>
      <c r="L3" s="59" t="n">
        <v>0.114583333333333</v>
      </c>
      <c r="M3" s="31" t="s">
        <v>1064</v>
      </c>
    </row>
    <row r="4" customFormat="false" ht="22.5" hidden="false" customHeight="true" outlineLevel="0" collapsed="false">
      <c r="A4" s="57" t="n">
        <v>45870</v>
      </c>
      <c r="B4" s="1" t="n">
        <v>15</v>
      </c>
      <c r="C4" s="56" t="s">
        <v>36</v>
      </c>
      <c r="D4" s="56" t="s">
        <v>156</v>
      </c>
      <c r="E4" s="56" t="s">
        <v>17</v>
      </c>
      <c r="F4" s="60" t="s">
        <v>1065</v>
      </c>
      <c r="G4" s="56" t="s">
        <v>19</v>
      </c>
      <c r="H4" s="56" t="s">
        <v>966</v>
      </c>
      <c r="I4" s="56" t="s">
        <v>21</v>
      </c>
      <c r="J4" s="57" t="n">
        <v>45877</v>
      </c>
      <c r="K4" s="58" t="n">
        <v>2</v>
      </c>
      <c r="L4" s="59" t="n">
        <v>0.310416666666667</v>
      </c>
      <c r="M4" s="31" t="s">
        <v>1066</v>
      </c>
    </row>
    <row r="5" customFormat="false" ht="22.5" hidden="false" customHeight="true" outlineLevel="0" collapsed="false">
      <c r="A5" s="55" t="n">
        <v>45873</v>
      </c>
      <c r="B5" s="1" t="n">
        <v>16</v>
      </c>
      <c r="C5" s="56" t="str">
        <f aca="false">IF(ISBLANK(A5), "--", PROPER(TEXT(A5, "dddd")))</f>
        <v>Monday</v>
      </c>
      <c r="D5" s="56" t="s">
        <v>130</v>
      </c>
      <c r="E5" s="56" t="s">
        <v>17</v>
      </c>
      <c r="F5" s="60" t="s">
        <v>1067</v>
      </c>
      <c r="G5" s="56" t="s">
        <v>19</v>
      </c>
      <c r="H5" s="56" t="s">
        <v>1068</v>
      </c>
      <c r="I5" s="56" t="s">
        <v>21</v>
      </c>
      <c r="J5" s="57" t="n">
        <v>45875</v>
      </c>
      <c r="K5" s="58" t="n">
        <v>2</v>
      </c>
      <c r="L5" s="59" t="n">
        <v>0.0840277777777778</v>
      </c>
      <c r="M5" s="31" t="s">
        <v>1069</v>
      </c>
      <c r="N5" s="56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  <row r="6" customFormat="false" ht="22.5" hidden="false" customHeight="true" outlineLevel="0" collapsed="false">
      <c r="A6" s="63" t="n">
        <v>45873</v>
      </c>
      <c r="B6" s="1" t="n">
        <v>16</v>
      </c>
      <c r="C6" s="56" t="str">
        <f aca="false">IF(ISBLANK(A6), "--", PROPER(TEXT(A6, "dddd")))</f>
        <v>Monday</v>
      </c>
      <c r="D6" s="56" t="s">
        <v>156</v>
      </c>
      <c r="E6" s="56" t="s">
        <v>17</v>
      </c>
      <c r="F6" s="60" t="s">
        <v>1070</v>
      </c>
      <c r="G6" s="56" t="s">
        <v>19</v>
      </c>
      <c r="H6" s="56" t="s">
        <v>34</v>
      </c>
      <c r="I6" s="56" t="s">
        <v>21</v>
      </c>
      <c r="J6" s="63" t="n">
        <v>45888</v>
      </c>
      <c r="K6" s="58" t="n">
        <v>5</v>
      </c>
      <c r="L6" s="59" t="n">
        <v>0.451388888888889</v>
      </c>
      <c r="M6" s="31" t="s">
        <v>1071</v>
      </c>
      <c r="N6" s="56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7" customFormat="false" ht="22.5" hidden="false" customHeight="true" outlineLevel="0" collapsed="false">
      <c r="A7" s="63" t="n">
        <v>45873</v>
      </c>
      <c r="B7" s="1" t="n">
        <v>16</v>
      </c>
      <c r="C7" s="56" t="str">
        <f aca="false">IF(ISBLANK(A7), "--", PROPER(TEXT(A7, "dddd")))</f>
        <v>Monday</v>
      </c>
      <c r="D7" s="56" t="s">
        <v>16</v>
      </c>
      <c r="E7" s="56" t="s">
        <v>17</v>
      </c>
      <c r="F7" s="60" t="s">
        <v>1072</v>
      </c>
      <c r="G7" s="56" t="s">
        <v>19</v>
      </c>
      <c r="H7" s="56" t="s">
        <v>70</v>
      </c>
      <c r="I7" s="56" t="s">
        <v>21</v>
      </c>
      <c r="J7" s="63" t="n">
        <v>45875</v>
      </c>
      <c r="K7" s="58" t="n">
        <v>2</v>
      </c>
      <c r="L7" s="59" t="n">
        <v>0.159722222222222</v>
      </c>
      <c r="M7" s="31" t="s">
        <v>1073</v>
      </c>
      <c r="N7" s="56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</row>
    <row r="8" customFormat="false" ht="22.5" hidden="false" customHeight="true" outlineLevel="0" collapsed="false">
      <c r="A8" s="63" t="n">
        <v>45873</v>
      </c>
      <c r="B8" s="1" t="n">
        <v>16</v>
      </c>
      <c r="C8" s="56" t="str">
        <f aca="false">IF(ISBLANK(A8), "--", PROPER(TEXT(A8, "dddd")))</f>
        <v>Monday</v>
      </c>
      <c r="D8" s="56" t="s">
        <v>145</v>
      </c>
      <c r="E8" s="56" t="s">
        <v>139</v>
      </c>
      <c r="F8" s="60" t="s">
        <v>1074</v>
      </c>
      <c r="G8" s="56" t="s">
        <v>77</v>
      </c>
      <c r="H8" s="56" t="s">
        <v>141</v>
      </c>
      <c r="I8" s="56" t="s">
        <v>21</v>
      </c>
      <c r="J8" s="63" t="n">
        <v>45873</v>
      </c>
      <c r="K8" s="58" t="n">
        <v>1</v>
      </c>
      <c r="L8" s="59" t="n">
        <v>0.0215277777777778</v>
      </c>
      <c r="M8" s="61" t="s">
        <v>1075</v>
      </c>
      <c r="N8" s="56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customFormat="false" ht="22.5" hidden="false" customHeight="true" outlineLevel="0" collapsed="false">
      <c r="A9" s="63" t="n">
        <v>45873</v>
      </c>
      <c r="B9" s="1" t="n">
        <v>16</v>
      </c>
      <c r="C9" s="56" t="str">
        <f aca="false">IF(ISBLANK(A9), "--", PROPER(TEXT(A9, "dddd")))</f>
        <v>Monday</v>
      </c>
      <c r="D9" s="56" t="s">
        <v>16</v>
      </c>
      <c r="E9" s="56" t="s">
        <v>17</v>
      </c>
      <c r="F9" s="60" t="s">
        <v>1076</v>
      </c>
      <c r="G9" s="56" t="s">
        <v>48</v>
      </c>
      <c r="H9" s="56" t="s">
        <v>70</v>
      </c>
      <c r="I9" s="56" t="s">
        <v>21</v>
      </c>
      <c r="J9" s="57" t="n">
        <v>45875</v>
      </c>
      <c r="K9" s="58" t="n">
        <v>2</v>
      </c>
      <c r="L9" s="59" t="n">
        <v>0.11875</v>
      </c>
      <c r="M9" s="31" t="s">
        <v>1077</v>
      </c>
      <c r="N9" s="56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</row>
    <row r="10" customFormat="false" ht="22.5" hidden="false" customHeight="true" outlineLevel="0" collapsed="false">
      <c r="A10" s="63" t="n">
        <v>45873</v>
      </c>
      <c r="B10" s="1" t="n">
        <v>16</v>
      </c>
      <c r="C10" s="56" t="str">
        <f aca="false">IF(ISBLANK(A10), "--", PROPER(TEXT(A10, "dddd")))</f>
        <v>Monday</v>
      </c>
      <c r="D10" s="56" t="s">
        <v>156</v>
      </c>
      <c r="E10" s="56" t="s">
        <v>17</v>
      </c>
      <c r="F10" s="60" t="s">
        <v>1078</v>
      </c>
      <c r="G10" s="56" t="s">
        <v>19</v>
      </c>
      <c r="H10" s="56" t="s">
        <v>966</v>
      </c>
      <c r="I10" s="56" t="s">
        <v>21</v>
      </c>
      <c r="J10" s="57" t="n">
        <v>45877</v>
      </c>
      <c r="K10" s="58" t="n">
        <v>2</v>
      </c>
      <c r="L10" s="59" t="n">
        <v>0.501388888888889</v>
      </c>
      <c r="M10" s="31" t="s">
        <v>1079</v>
      </c>
      <c r="N10" s="56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</row>
    <row r="11" customFormat="false" ht="22.5" hidden="false" customHeight="true" outlineLevel="0" collapsed="false">
      <c r="A11" s="63" t="n">
        <v>45873</v>
      </c>
      <c r="B11" s="1" t="n">
        <v>16</v>
      </c>
      <c r="C11" s="56" t="s">
        <v>101</v>
      </c>
      <c r="D11" s="56" t="s">
        <v>156</v>
      </c>
      <c r="E11" s="56" t="s">
        <v>17</v>
      </c>
      <c r="F11" s="60" t="s">
        <v>1080</v>
      </c>
      <c r="G11" s="56" t="s">
        <v>19</v>
      </c>
      <c r="H11" s="56" t="s">
        <v>34</v>
      </c>
      <c r="I11" s="56" t="s">
        <v>21</v>
      </c>
      <c r="J11" s="57" t="n">
        <v>45884</v>
      </c>
      <c r="K11" s="58" t="n">
        <v>3</v>
      </c>
      <c r="L11" s="59" t="n">
        <v>0.247222222222222</v>
      </c>
      <c r="M11" s="31" t="s">
        <v>1081</v>
      </c>
      <c r="N11" s="56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</row>
    <row r="12" customFormat="false" ht="22.5" hidden="false" customHeight="true" outlineLevel="0" collapsed="false">
      <c r="A12" s="63" t="n">
        <v>45873</v>
      </c>
      <c r="B12" s="1" t="n">
        <v>16</v>
      </c>
      <c r="C12" s="56" t="s">
        <v>101</v>
      </c>
      <c r="D12" s="56" t="s">
        <v>16</v>
      </c>
      <c r="E12" s="56" t="s">
        <v>17</v>
      </c>
      <c r="F12" s="60" t="s">
        <v>1076</v>
      </c>
      <c r="G12" s="56" t="s">
        <v>48</v>
      </c>
      <c r="H12" s="56" t="s">
        <v>70</v>
      </c>
      <c r="I12" s="56" t="s">
        <v>21</v>
      </c>
      <c r="J12" s="57" t="n">
        <v>45875</v>
      </c>
      <c r="K12" s="58" t="n">
        <v>2</v>
      </c>
      <c r="L12" s="59" t="n">
        <v>0.11875</v>
      </c>
      <c r="M12" s="61" t="s">
        <v>1077</v>
      </c>
      <c r="N12" s="56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</row>
    <row r="13" customFormat="false" ht="22.5" hidden="false" customHeight="true" outlineLevel="0" collapsed="false">
      <c r="A13" s="63" t="n">
        <v>45874</v>
      </c>
      <c r="B13" s="1" t="n">
        <v>16</v>
      </c>
      <c r="C13" s="56" t="str">
        <f aca="false">IF(ISBLANK(A13), "--", PROPER(TEXT(A13, "dddd")))</f>
        <v>Tuesday</v>
      </c>
      <c r="D13" s="56" t="s">
        <v>46</v>
      </c>
      <c r="E13" s="56" t="s">
        <v>17</v>
      </c>
      <c r="F13" s="60" t="s">
        <v>1082</v>
      </c>
      <c r="G13" s="56" t="s">
        <v>19</v>
      </c>
      <c r="H13" s="56" t="s">
        <v>449</v>
      </c>
      <c r="I13" s="56" t="s">
        <v>21</v>
      </c>
      <c r="J13" s="63" t="n">
        <v>45874</v>
      </c>
      <c r="K13" s="58" t="n">
        <v>1</v>
      </c>
      <c r="L13" s="59" t="n">
        <v>0.134722222222222</v>
      </c>
      <c r="M13" s="61" t="s">
        <v>1083</v>
      </c>
      <c r="N13" s="56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</row>
    <row r="14" customFormat="false" ht="22.5" hidden="false" customHeight="true" outlineLevel="0" collapsed="false">
      <c r="A14" s="63" t="n">
        <v>45874</v>
      </c>
      <c r="B14" s="1" t="n">
        <v>16</v>
      </c>
      <c r="C14" s="56" t="str">
        <f aca="false">IF(ISBLANK(A14), "--", PROPER(TEXT(A14, "dddd")))</f>
        <v>Tuesday</v>
      </c>
      <c r="D14" s="56" t="s">
        <v>156</v>
      </c>
      <c r="E14" s="56" t="s">
        <v>17</v>
      </c>
      <c r="F14" s="60" t="s">
        <v>1084</v>
      </c>
      <c r="G14" s="56" t="s">
        <v>19</v>
      </c>
      <c r="H14" s="56" t="s">
        <v>34</v>
      </c>
      <c r="I14" s="56" t="s">
        <v>21</v>
      </c>
      <c r="J14" s="63" t="n">
        <v>45923</v>
      </c>
      <c r="K14" s="58" t="n">
        <v>3</v>
      </c>
      <c r="L14" s="59" t="n">
        <v>0.359722222222222</v>
      </c>
      <c r="M14" s="31" t="s">
        <v>1085</v>
      </c>
      <c r="N14" s="56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 customFormat="false" ht="22.5" hidden="false" customHeight="true" outlineLevel="0" collapsed="false">
      <c r="A15" s="63" t="n">
        <v>45874</v>
      </c>
      <c r="B15" s="1" t="n">
        <v>16</v>
      </c>
      <c r="C15" s="56" t="str">
        <f aca="false">IF(ISBLANK(A15), "--", PROPER(TEXT(A15, "dddd")))</f>
        <v>Tuesday</v>
      </c>
      <c r="D15" s="56" t="s">
        <v>156</v>
      </c>
      <c r="E15" s="56" t="s">
        <v>17</v>
      </c>
      <c r="F15" s="60" t="s">
        <v>1086</v>
      </c>
      <c r="G15" s="56" t="s">
        <v>19</v>
      </c>
      <c r="H15" s="56" t="s">
        <v>34</v>
      </c>
      <c r="I15" s="56" t="s">
        <v>21</v>
      </c>
      <c r="J15" s="63" t="n">
        <v>45880</v>
      </c>
      <c r="K15" s="58" t="n">
        <v>2</v>
      </c>
      <c r="L15" s="59" t="n">
        <v>0.164583333333333</v>
      </c>
      <c r="M15" s="31" t="s">
        <v>1087</v>
      </c>
      <c r="N15" s="56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</row>
    <row r="16" customFormat="false" ht="22.5" hidden="false" customHeight="true" outlineLevel="0" collapsed="false">
      <c r="A16" s="63" t="n">
        <v>45874</v>
      </c>
      <c r="B16" s="1" t="n">
        <v>16</v>
      </c>
      <c r="C16" s="56" t="str">
        <f aca="false">IF(ISBLANK(A16), "--", PROPER(TEXT(A16, "dddd")))</f>
        <v>Tuesday</v>
      </c>
      <c r="D16" s="56" t="s">
        <v>16</v>
      </c>
      <c r="E16" s="56" t="s">
        <v>17</v>
      </c>
      <c r="F16" s="60" t="s">
        <v>1088</v>
      </c>
      <c r="G16" s="56" t="s">
        <v>48</v>
      </c>
      <c r="H16" s="56" t="s">
        <v>449</v>
      </c>
      <c r="I16" s="56" t="s">
        <v>21</v>
      </c>
      <c r="J16" s="63" t="n">
        <v>45876</v>
      </c>
      <c r="K16" s="58" t="n">
        <v>1</v>
      </c>
      <c r="L16" s="59" t="n">
        <v>0.0972222222222222</v>
      </c>
      <c r="M16" s="31" t="s">
        <v>1089</v>
      </c>
      <c r="N16" s="56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</row>
    <row r="17" customFormat="false" ht="22.5" hidden="false" customHeight="true" outlineLevel="0" collapsed="false">
      <c r="A17" s="63" t="n">
        <v>45874</v>
      </c>
      <c r="B17" s="1" t="n">
        <v>16</v>
      </c>
      <c r="C17" s="56" t="str">
        <f aca="false">IF(ISBLANK(A17), "--", PROPER(TEXT(A17, "dddd")))</f>
        <v>Tuesday</v>
      </c>
      <c r="D17" s="56" t="s">
        <v>16</v>
      </c>
      <c r="E17" s="56" t="s">
        <v>17</v>
      </c>
      <c r="F17" s="60" t="s">
        <v>1090</v>
      </c>
      <c r="G17" s="56" t="s">
        <v>19</v>
      </c>
      <c r="H17" s="56" t="s">
        <v>70</v>
      </c>
      <c r="I17" s="56" t="s">
        <v>21</v>
      </c>
      <c r="J17" s="63" t="n">
        <v>45875</v>
      </c>
      <c r="K17" s="58" t="n">
        <v>2</v>
      </c>
      <c r="L17" s="59" t="n">
        <v>0.1125</v>
      </c>
      <c r="M17" s="61" t="s">
        <v>1091</v>
      </c>
      <c r="N17" s="56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</row>
    <row r="18" customFormat="false" ht="22.5" hidden="false" customHeight="true" outlineLevel="0" collapsed="false">
      <c r="A18" s="63" t="n">
        <v>45875</v>
      </c>
      <c r="B18" s="1" t="n">
        <v>16</v>
      </c>
      <c r="C18" s="56" t="str">
        <f aca="false">IF(ISBLANK(A18), "--", PROPER(TEXT(A18, "dddd")))</f>
        <v>Wednesday</v>
      </c>
      <c r="D18" s="56" t="s">
        <v>145</v>
      </c>
      <c r="E18" s="56" t="s">
        <v>17</v>
      </c>
      <c r="F18" s="60" t="s">
        <v>1092</v>
      </c>
      <c r="G18" s="56" t="s">
        <v>77</v>
      </c>
      <c r="H18" s="56" t="s">
        <v>966</v>
      </c>
      <c r="I18" s="56" t="s">
        <v>21</v>
      </c>
      <c r="J18" s="63" t="n">
        <v>45875</v>
      </c>
      <c r="K18" s="58" t="n">
        <v>1</v>
      </c>
      <c r="L18" s="59" t="n">
        <v>0.01875</v>
      </c>
      <c r="M18" s="83" t="s">
        <v>1093</v>
      </c>
      <c r="N18" s="56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customFormat="false" ht="22.5" hidden="false" customHeight="true" outlineLevel="0" collapsed="false">
      <c r="A19" s="63" t="n">
        <v>45875</v>
      </c>
      <c r="B19" s="1" t="n">
        <v>16</v>
      </c>
      <c r="C19" s="56" t="str">
        <f aca="false">IF(ISBLANK(A19), "--", PROPER(TEXT(A19, "dddd")))</f>
        <v>Wednesday</v>
      </c>
      <c r="D19" s="56" t="s">
        <v>145</v>
      </c>
      <c r="E19" s="56" t="s">
        <v>17</v>
      </c>
      <c r="F19" s="60" t="s">
        <v>1094</v>
      </c>
      <c r="G19" s="56" t="s">
        <v>77</v>
      </c>
      <c r="H19" s="56" t="s">
        <v>141</v>
      </c>
      <c r="I19" s="56" t="s">
        <v>21</v>
      </c>
      <c r="J19" s="63" t="n">
        <v>45880</v>
      </c>
      <c r="K19" s="58" t="n">
        <v>2</v>
      </c>
      <c r="L19" s="59" t="n">
        <v>0.315277777777778</v>
      </c>
      <c r="M19" s="64" t="s">
        <v>1095</v>
      </c>
      <c r="N19" s="5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</row>
    <row r="20" customFormat="false" ht="22.5" hidden="false" customHeight="true" outlineLevel="0" collapsed="false">
      <c r="A20" s="63" t="n">
        <v>45875</v>
      </c>
      <c r="B20" s="1" t="n">
        <v>16</v>
      </c>
      <c r="C20" s="56" t="str">
        <f aca="false">IF(ISBLANK(A20), "--", PROPER(TEXT(A20, "dddd")))</f>
        <v>Wednesday</v>
      </c>
      <c r="D20" s="56" t="s">
        <v>16</v>
      </c>
      <c r="E20" s="56" t="s">
        <v>17</v>
      </c>
      <c r="F20" s="60" t="s">
        <v>1096</v>
      </c>
      <c r="G20" s="56" t="s">
        <v>48</v>
      </c>
      <c r="H20" s="56" t="s">
        <v>70</v>
      </c>
      <c r="I20" s="56" t="s">
        <v>21</v>
      </c>
      <c r="J20" s="63" t="n">
        <v>45880</v>
      </c>
      <c r="K20" s="58" t="n">
        <v>3</v>
      </c>
      <c r="L20" s="59" t="n">
        <v>0.0916666666666667</v>
      </c>
      <c r="M20" s="64" t="s">
        <v>1097</v>
      </c>
      <c r="N20" s="56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</row>
    <row r="21" customFormat="false" ht="22.5" hidden="false" customHeight="true" outlineLevel="0" collapsed="false">
      <c r="A21" s="63" t="n">
        <v>45875</v>
      </c>
      <c r="B21" s="1" t="n">
        <v>16</v>
      </c>
      <c r="C21" s="56" t="str">
        <f aca="false">IF(ISBLANK(A21), "--", PROPER(TEXT(A21, "dddd")))</f>
        <v>Wednesday</v>
      </c>
      <c r="D21" s="56" t="s">
        <v>16</v>
      </c>
      <c r="E21" s="56" t="s">
        <v>17</v>
      </c>
      <c r="F21" s="60" t="s">
        <v>1098</v>
      </c>
      <c r="G21" s="56" t="s">
        <v>48</v>
      </c>
      <c r="H21" s="56" t="s">
        <v>449</v>
      </c>
      <c r="I21" s="56" t="s">
        <v>21</v>
      </c>
      <c r="J21" s="63" t="n">
        <v>45876</v>
      </c>
      <c r="K21" s="58" t="n">
        <v>1</v>
      </c>
      <c r="L21" s="59" t="n">
        <v>0.0388888888888889</v>
      </c>
      <c r="M21" s="64" t="s">
        <v>1099</v>
      </c>
      <c r="N21" s="56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</row>
    <row r="22" customFormat="false" ht="22.5" hidden="false" customHeight="true" outlineLevel="0" collapsed="false">
      <c r="A22" s="63" t="n">
        <v>45875</v>
      </c>
      <c r="B22" s="1" t="n">
        <v>16</v>
      </c>
      <c r="C22" s="56" t="str">
        <f aca="false">IF(ISBLANK(A22), "--", PROPER(TEXT(A22, "dddd")))</f>
        <v>Wednesday</v>
      </c>
      <c r="D22" s="56" t="s">
        <v>16</v>
      </c>
      <c r="E22" s="56" t="s">
        <v>17</v>
      </c>
      <c r="F22" s="60" t="s">
        <v>1100</v>
      </c>
      <c r="G22" s="56" t="s">
        <v>19</v>
      </c>
      <c r="H22" s="56" t="s">
        <v>449</v>
      </c>
      <c r="I22" s="56" t="s">
        <v>21</v>
      </c>
      <c r="J22" s="57" t="n">
        <v>45881</v>
      </c>
      <c r="K22" s="58" t="n">
        <v>1</v>
      </c>
      <c r="L22" s="59" t="n">
        <v>0.109722222222222</v>
      </c>
      <c r="M22" s="31" t="s">
        <v>1101</v>
      </c>
      <c r="N22" s="56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  <row r="23" customFormat="false" ht="22.5" hidden="false" customHeight="true" outlineLevel="0" collapsed="false">
      <c r="A23" s="63" t="n">
        <v>45875</v>
      </c>
      <c r="B23" s="1" t="n">
        <v>16</v>
      </c>
      <c r="C23" s="56" t="str">
        <f aca="false">IF(ISBLANK(A23), "--", PROPER(TEXT(A23, "dddd")))</f>
        <v>Wednesday</v>
      </c>
      <c r="D23" s="56" t="s">
        <v>16</v>
      </c>
      <c r="E23" s="56" t="s">
        <v>17</v>
      </c>
      <c r="F23" s="60" t="s">
        <v>1102</v>
      </c>
      <c r="G23" s="56" t="s">
        <v>48</v>
      </c>
      <c r="H23" s="56" t="s">
        <v>449</v>
      </c>
      <c r="I23" s="56" t="s">
        <v>21</v>
      </c>
      <c r="J23" s="57" t="n">
        <v>45881</v>
      </c>
      <c r="K23" s="58" t="n">
        <v>1</v>
      </c>
      <c r="L23" s="59" t="n">
        <v>0.100694444444444</v>
      </c>
      <c r="M23" s="31" t="s">
        <v>1103</v>
      </c>
      <c r="N23" s="56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</row>
    <row r="24" customFormat="false" ht="22.5" hidden="false" customHeight="true" outlineLevel="0" collapsed="false">
      <c r="A24" s="63" t="n">
        <v>45875</v>
      </c>
      <c r="B24" s="1" t="n">
        <v>16</v>
      </c>
      <c r="C24" s="56" t="str">
        <f aca="false">IF(ISBLANK(A24), "--", PROPER(TEXT(A24, "dddd")))</f>
        <v>Wednesday</v>
      </c>
      <c r="D24" s="56" t="s">
        <v>16</v>
      </c>
      <c r="E24" s="56" t="s">
        <v>17</v>
      </c>
      <c r="F24" s="60" t="s">
        <v>1104</v>
      </c>
      <c r="G24" s="56" t="s">
        <v>19</v>
      </c>
      <c r="H24" s="56" t="s">
        <v>70</v>
      </c>
      <c r="I24" s="56" t="s">
        <v>21</v>
      </c>
      <c r="J24" s="57" t="n">
        <v>45881</v>
      </c>
      <c r="K24" s="58" t="n">
        <v>2</v>
      </c>
      <c r="L24" s="59" t="n">
        <v>0.0888888888888889</v>
      </c>
      <c r="M24" s="31" t="s">
        <v>1105</v>
      </c>
      <c r="N24" s="56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customFormat="false" ht="22.5" hidden="false" customHeight="true" outlineLevel="0" collapsed="false">
      <c r="A25" s="63" t="n">
        <v>45877</v>
      </c>
      <c r="B25" s="1" t="n">
        <v>16</v>
      </c>
      <c r="C25" s="56" t="str">
        <f aca="false">IF(ISBLANK(A25), "--", PROPER(TEXT(A25, "dddd")))</f>
        <v>Friday</v>
      </c>
      <c r="D25" s="56" t="s">
        <v>145</v>
      </c>
      <c r="E25" s="56" t="s">
        <v>139</v>
      </c>
      <c r="F25" s="60" t="s">
        <v>1106</v>
      </c>
      <c r="G25" s="56" t="s">
        <v>48</v>
      </c>
      <c r="H25" s="56" t="s">
        <v>141</v>
      </c>
      <c r="I25" s="56" t="s">
        <v>21</v>
      </c>
      <c r="J25" s="57" t="n">
        <v>45877</v>
      </c>
      <c r="K25" s="58" t="n">
        <v>1</v>
      </c>
      <c r="L25" s="59" t="n">
        <v>0.0125</v>
      </c>
      <c r="M25" s="31" t="s">
        <v>1107</v>
      </c>
      <c r="N25" s="56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customFormat="false" ht="22.5" hidden="false" customHeight="true" outlineLevel="0" collapsed="false">
      <c r="A26" s="63" t="n">
        <v>45877</v>
      </c>
      <c r="B26" s="1" t="n">
        <v>16</v>
      </c>
      <c r="C26" s="56" t="str">
        <f aca="false">IF(ISBLANK(A26), "--", PROPER(TEXT(A26, "dddd")))</f>
        <v>Friday</v>
      </c>
      <c r="D26" s="56" t="s">
        <v>85</v>
      </c>
      <c r="E26" s="56" t="s">
        <v>17</v>
      </c>
      <c r="F26" s="60" t="s">
        <v>1108</v>
      </c>
      <c r="G26" s="56" t="s">
        <v>77</v>
      </c>
      <c r="H26" s="56" t="s">
        <v>1068</v>
      </c>
      <c r="I26" s="56" t="s">
        <v>21</v>
      </c>
      <c r="J26" s="57" t="n">
        <v>45877</v>
      </c>
      <c r="K26" s="58" t="n">
        <v>1</v>
      </c>
      <c r="L26" s="59" t="n">
        <v>0.101388888888889</v>
      </c>
      <c r="M26" s="31" t="s">
        <v>1109</v>
      </c>
      <c r="N26" s="56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customFormat="false" ht="22.5" hidden="false" customHeight="true" outlineLevel="0" collapsed="false">
      <c r="A27" s="63" t="n">
        <v>45877</v>
      </c>
      <c r="B27" s="1" t="n">
        <v>16</v>
      </c>
      <c r="C27" s="56" t="str">
        <f aca="false">IF(ISBLANK(A27), "--", PROPER(TEXT(A27, "dddd")))</f>
        <v>Friday</v>
      </c>
      <c r="D27" s="56" t="s">
        <v>16</v>
      </c>
      <c r="E27" s="56" t="s">
        <v>17</v>
      </c>
      <c r="F27" s="60" t="s">
        <v>1110</v>
      </c>
      <c r="G27" s="56" t="s">
        <v>48</v>
      </c>
      <c r="H27" s="56" t="s">
        <v>70</v>
      </c>
      <c r="I27" s="56" t="s">
        <v>21</v>
      </c>
      <c r="J27" s="57" t="n">
        <v>45877</v>
      </c>
      <c r="K27" s="58" t="n">
        <v>1</v>
      </c>
      <c r="L27" s="59" t="n">
        <v>0.00902777777777778</v>
      </c>
      <c r="M27" s="31" t="s">
        <v>1111</v>
      </c>
      <c r="N27" s="56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</row>
    <row r="28" customFormat="false" ht="22.5" hidden="false" customHeight="true" outlineLevel="0" collapsed="false">
      <c r="A28" s="63" t="n">
        <v>45877</v>
      </c>
      <c r="B28" s="1" t="n">
        <v>16</v>
      </c>
      <c r="C28" s="56" t="str">
        <f aca="false">IF(ISBLANK(A28), "--", PROPER(TEXT(A28, "dddd")))</f>
        <v>Friday</v>
      </c>
      <c r="D28" s="56" t="s">
        <v>156</v>
      </c>
      <c r="E28" s="56" t="s">
        <v>17</v>
      </c>
      <c r="F28" s="60" t="s">
        <v>1112</v>
      </c>
      <c r="G28" s="56" t="s">
        <v>19</v>
      </c>
      <c r="H28" s="56" t="s">
        <v>34</v>
      </c>
      <c r="I28" s="56" t="s">
        <v>21</v>
      </c>
      <c r="J28" s="57" t="n">
        <v>45884</v>
      </c>
      <c r="K28" s="58" t="n">
        <v>1</v>
      </c>
      <c r="L28" s="59" t="n">
        <v>0.0965277777777778</v>
      </c>
      <c r="M28" s="31" t="s">
        <v>1113</v>
      </c>
      <c r="N28" s="56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</row>
    <row r="29" customFormat="false" ht="22.5" hidden="false" customHeight="true" outlineLevel="0" collapsed="false">
      <c r="A29" s="63" t="n">
        <v>45880</v>
      </c>
      <c r="B29" s="1" t="n">
        <v>16</v>
      </c>
      <c r="C29" s="56" t="str">
        <f aca="false">IF(ISBLANK(A29), "--", PROPER(TEXT(A29, "dddd")))</f>
        <v>Monday</v>
      </c>
      <c r="D29" s="56" t="s">
        <v>16</v>
      </c>
      <c r="E29" s="56" t="s">
        <v>17</v>
      </c>
      <c r="F29" s="60" t="s">
        <v>1114</v>
      </c>
      <c r="G29" s="56" t="s">
        <v>48</v>
      </c>
      <c r="H29" s="56" t="s">
        <v>449</v>
      </c>
      <c r="I29" s="56" t="s">
        <v>21</v>
      </c>
      <c r="J29" s="57" t="n">
        <v>45883</v>
      </c>
      <c r="K29" s="58" t="n">
        <v>2</v>
      </c>
      <c r="L29" s="59" t="n">
        <v>0.139583333333333</v>
      </c>
      <c r="M29" s="31" t="s">
        <v>1115</v>
      </c>
      <c r="N29" s="5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</row>
    <row r="30" customFormat="false" ht="22.5" hidden="false" customHeight="true" outlineLevel="0" collapsed="false">
      <c r="A30" s="63" t="n">
        <v>45880</v>
      </c>
      <c r="B30" s="1" t="n">
        <v>16</v>
      </c>
      <c r="C30" s="56" t="str">
        <f aca="false">IF(ISBLANK(A30), "--", PROPER(TEXT(A30, "dddd")))</f>
        <v>Monday</v>
      </c>
      <c r="D30" s="56" t="s">
        <v>16</v>
      </c>
      <c r="E30" s="56" t="s">
        <v>17</v>
      </c>
      <c r="F30" s="60" t="s">
        <v>1116</v>
      </c>
      <c r="G30" s="56" t="s">
        <v>48</v>
      </c>
      <c r="H30" s="56" t="s">
        <v>70</v>
      </c>
      <c r="I30" s="56" t="s">
        <v>21</v>
      </c>
      <c r="J30" s="57" t="n">
        <v>45884</v>
      </c>
      <c r="K30" s="58" t="n">
        <v>3</v>
      </c>
      <c r="L30" s="59" t="n">
        <v>0.170138888888889</v>
      </c>
      <c r="M30" s="61" t="s">
        <v>1117</v>
      </c>
      <c r="N30" s="56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customFormat="false" ht="22.5" hidden="false" customHeight="true" outlineLevel="0" collapsed="false">
      <c r="A31" s="63" t="n">
        <v>45880</v>
      </c>
      <c r="B31" s="1" t="n">
        <v>16</v>
      </c>
      <c r="C31" s="56" t="str">
        <f aca="false">IF(ISBLANK(A31), "--", PROPER(TEXT(A31, "dddd")))</f>
        <v>Monday</v>
      </c>
      <c r="D31" s="56" t="s">
        <v>16</v>
      </c>
      <c r="E31" s="56" t="s">
        <v>17</v>
      </c>
      <c r="F31" s="60" t="s">
        <v>1118</v>
      </c>
      <c r="G31" s="56" t="s">
        <v>19</v>
      </c>
      <c r="H31" s="56" t="s">
        <v>70</v>
      </c>
      <c r="I31" s="56" t="s">
        <v>21</v>
      </c>
      <c r="J31" s="57" t="n">
        <v>45883</v>
      </c>
      <c r="K31" s="58" t="n">
        <v>2</v>
      </c>
      <c r="L31" s="59" t="n">
        <v>0.148611111111111</v>
      </c>
      <c r="M31" s="61" t="s">
        <v>1119</v>
      </c>
      <c r="N31" s="5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customFormat="false" ht="22.5" hidden="false" customHeight="true" outlineLevel="0" collapsed="false">
      <c r="A32" s="63" t="n">
        <v>45880</v>
      </c>
      <c r="B32" s="1" t="n">
        <v>16</v>
      </c>
      <c r="C32" s="56" t="str">
        <f aca="false">IF(ISBLANK(A32), "--", PROPER(TEXT(A32, "dddd")))</f>
        <v>Monday</v>
      </c>
      <c r="D32" s="56" t="s">
        <v>156</v>
      </c>
      <c r="E32" s="56" t="s">
        <v>17</v>
      </c>
      <c r="F32" s="60" t="s">
        <v>1120</v>
      </c>
      <c r="G32" s="56" t="s">
        <v>77</v>
      </c>
      <c r="H32" s="56" t="s">
        <v>20</v>
      </c>
      <c r="I32" s="56" t="s">
        <v>21</v>
      </c>
      <c r="J32" s="57" t="n">
        <v>45881</v>
      </c>
      <c r="K32" s="58" t="n">
        <v>1</v>
      </c>
      <c r="L32" s="59" t="n">
        <v>0.0236111111111111</v>
      </c>
      <c r="M32" s="31" t="s">
        <v>1121</v>
      </c>
      <c r="N32" s="5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customFormat="false" ht="22.5" hidden="false" customHeight="true" outlineLevel="0" collapsed="false">
      <c r="A33" s="63" t="n">
        <v>45881</v>
      </c>
      <c r="B33" s="1" t="n">
        <v>16</v>
      </c>
      <c r="C33" s="56" t="str">
        <f aca="false">IF(ISBLANK(A33), "--", PROPER(TEXT(A33, "dddd")))</f>
        <v>Tuesday</v>
      </c>
      <c r="D33" s="56" t="s">
        <v>16</v>
      </c>
      <c r="E33" s="56" t="s">
        <v>17</v>
      </c>
      <c r="F33" s="60" t="s">
        <v>1122</v>
      </c>
      <c r="G33" s="56" t="s">
        <v>19</v>
      </c>
      <c r="H33" s="56" t="s">
        <v>449</v>
      </c>
      <c r="I33" s="56" t="s">
        <v>21</v>
      </c>
      <c r="J33" s="57" t="n">
        <v>45882</v>
      </c>
      <c r="K33" s="58" t="n">
        <v>3</v>
      </c>
      <c r="L33" s="59" t="n">
        <v>0.172222222222222</v>
      </c>
      <c r="M33" s="31" t="s">
        <v>1123</v>
      </c>
      <c r="N33" s="5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customFormat="false" ht="22.5" hidden="false" customHeight="true" outlineLevel="0" collapsed="false">
      <c r="A34" s="63" t="n">
        <v>45882</v>
      </c>
      <c r="B34" s="1" t="n">
        <v>16</v>
      </c>
      <c r="C34" s="56" t="str">
        <f aca="false">IF(ISBLANK(A34), "--", PROPER(TEXT(A34, "dddd")))</f>
        <v>Wednesday</v>
      </c>
      <c r="D34" s="56" t="s">
        <v>16</v>
      </c>
      <c r="E34" s="56" t="s">
        <v>17</v>
      </c>
      <c r="F34" s="60" t="s">
        <v>1124</v>
      </c>
      <c r="G34" s="56" t="s">
        <v>48</v>
      </c>
      <c r="H34" s="56" t="s">
        <v>449</v>
      </c>
      <c r="I34" s="56" t="s">
        <v>21</v>
      </c>
      <c r="J34" s="57" t="n">
        <v>45884</v>
      </c>
      <c r="K34" s="58" t="n">
        <v>2</v>
      </c>
      <c r="L34" s="59" t="n">
        <v>0.3375</v>
      </c>
      <c r="M34" s="31" t="s">
        <v>1125</v>
      </c>
      <c r="N34" s="5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customFormat="false" ht="22.5" hidden="false" customHeight="true" outlineLevel="0" collapsed="false">
      <c r="A35" s="63" t="n">
        <v>45882</v>
      </c>
      <c r="B35" s="1" t="n">
        <v>16</v>
      </c>
      <c r="C35" s="56" t="str">
        <f aca="false">IF(ISBLANK(A35), "--", PROPER(TEXT(A35, "dddd")))</f>
        <v>Wednesday</v>
      </c>
      <c r="D35" s="56" t="s">
        <v>145</v>
      </c>
      <c r="E35" s="56" t="s">
        <v>17</v>
      </c>
      <c r="F35" s="60" t="s">
        <v>1126</v>
      </c>
      <c r="G35" s="56" t="s">
        <v>19</v>
      </c>
      <c r="H35" s="56" t="s">
        <v>141</v>
      </c>
      <c r="I35" s="56" t="s">
        <v>21</v>
      </c>
      <c r="J35" s="57" t="n">
        <v>45883</v>
      </c>
      <c r="K35" s="58" t="n">
        <v>1</v>
      </c>
      <c r="L35" s="59" t="n">
        <v>0.0375</v>
      </c>
      <c r="M35" s="31" t="s">
        <v>1127</v>
      </c>
      <c r="N35" s="5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customFormat="false" ht="22.5" hidden="false" customHeight="true" outlineLevel="0" collapsed="false">
      <c r="A36" s="63" t="n">
        <v>45882</v>
      </c>
      <c r="B36" s="1" t="n">
        <v>16</v>
      </c>
      <c r="C36" s="56" t="str">
        <f aca="false">IF(ISBLANK(A36), "--", PROPER(TEXT(A36, "dddd")))</f>
        <v>Wednesday</v>
      </c>
      <c r="D36" s="56" t="s">
        <v>130</v>
      </c>
      <c r="E36" s="56" t="s">
        <v>17</v>
      </c>
      <c r="F36" s="60" t="s">
        <v>1128</v>
      </c>
      <c r="G36" s="56" t="s">
        <v>19</v>
      </c>
      <c r="H36" s="56" t="s">
        <v>449</v>
      </c>
      <c r="I36" s="56" t="s">
        <v>21</v>
      </c>
      <c r="J36" s="57" t="n">
        <v>45884</v>
      </c>
      <c r="K36" s="58" t="n">
        <v>2</v>
      </c>
      <c r="L36" s="59" t="n">
        <v>0.108333333333333</v>
      </c>
      <c r="M36" s="31" t="s">
        <v>1129</v>
      </c>
      <c r="N36" s="5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customFormat="false" ht="22.5" hidden="false" customHeight="true" outlineLevel="0" collapsed="false">
      <c r="A37" s="63" t="n">
        <v>45883</v>
      </c>
      <c r="B37" s="1" t="n">
        <v>16</v>
      </c>
      <c r="C37" s="56" t="str">
        <f aca="false">IF(ISBLANK(A37), "--", PROPER(TEXT(A37, "dddd")))</f>
        <v>Thursday</v>
      </c>
      <c r="D37" s="56" t="s">
        <v>16</v>
      </c>
      <c r="E37" s="56" t="s">
        <v>17</v>
      </c>
      <c r="F37" s="60" t="s">
        <v>1130</v>
      </c>
      <c r="G37" s="56" t="s">
        <v>19</v>
      </c>
      <c r="H37" s="56" t="s">
        <v>70</v>
      </c>
      <c r="I37" s="56" t="s">
        <v>21</v>
      </c>
      <c r="J37" s="57" t="n">
        <v>45883</v>
      </c>
      <c r="K37" s="58" t="n">
        <v>2</v>
      </c>
      <c r="L37" s="59" t="n">
        <v>0.0534722222222222</v>
      </c>
      <c r="M37" s="31" t="s">
        <v>1131</v>
      </c>
      <c r="N37" s="5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customFormat="false" ht="22.5" hidden="false" customHeight="true" outlineLevel="0" collapsed="false">
      <c r="A38" s="77" t="n">
        <v>45888</v>
      </c>
      <c r="B38" s="1" t="n">
        <v>17</v>
      </c>
      <c r="C38" s="56" t="str">
        <f aca="false">IF(ISBLANK(A38), "--", PROPER(TEXT(A38, "dddd")))</f>
        <v>Tuesday</v>
      </c>
      <c r="D38" s="56" t="s">
        <v>156</v>
      </c>
      <c r="E38" s="56" t="s">
        <v>17</v>
      </c>
      <c r="F38" s="60" t="s">
        <v>1132</v>
      </c>
      <c r="G38" s="56" t="s">
        <v>77</v>
      </c>
      <c r="H38" s="56" t="s">
        <v>449</v>
      </c>
      <c r="I38" s="56" t="s">
        <v>21</v>
      </c>
      <c r="J38" s="57" t="n">
        <v>45888</v>
      </c>
      <c r="K38" s="58" t="n">
        <v>1</v>
      </c>
      <c r="L38" s="59" t="n">
        <v>0.0701388888888889</v>
      </c>
      <c r="M38" s="31" t="s">
        <v>1133</v>
      </c>
      <c r="N38" s="5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customFormat="false" ht="22.5" hidden="false" customHeight="true" outlineLevel="0" collapsed="false">
      <c r="A39" s="63" t="n">
        <v>45888</v>
      </c>
      <c r="B39" s="1" t="n">
        <v>17</v>
      </c>
      <c r="C39" s="56" t="str">
        <f aca="false">IF(ISBLANK(A39), "--", PROPER(TEXT(A39, "dddd")))</f>
        <v>Tuesday</v>
      </c>
      <c r="D39" s="56" t="s">
        <v>16</v>
      </c>
      <c r="E39" s="56" t="s">
        <v>17</v>
      </c>
      <c r="F39" s="60" t="s">
        <v>1134</v>
      </c>
      <c r="G39" s="56" t="s">
        <v>48</v>
      </c>
      <c r="H39" s="56" t="s">
        <v>449</v>
      </c>
      <c r="I39" s="56" t="s">
        <v>21</v>
      </c>
      <c r="J39" s="57" t="n">
        <v>45888</v>
      </c>
      <c r="K39" s="58" t="n">
        <v>1</v>
      </c>
      <c r="L39" s="59" t="n">
        <v>0.05</v>
      </c>
      <c r="M39" s="31" t="s">
        <v>1135</v>
      </c>
      <c r="N39" s="5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customFormat="false" ht="22.5" hidden="false" customHeight="true" outlineLevel="0" collapsed="false">
      <c r="A40" s="63" t="n">
        <v>45888</v>
      </c>
      <c r="B40" s="1" t="n">
        <v>17</v>
      </c>
      <c r="C40" s="56" t="str">
        <f aca="false">IF(ISBLANK(A40), "--", PROPER(TEXT(A40, "dddd")))</f>
        <v>Tuesday</v>
      </c>
      <c r="D40" s="56" t="s">
        <v>156</v>
      </c>
      <c r="E40" s="56" t="s">
        <v>17</v>
      </c>
      <c r="F40" s="60" t="s">
        <v>1136</v>
      </c>
      <c r="G40" s="56" t="s">
        <v>19</v>
      </c>
      <c r="H40" s="56" t="s">
        <v>34</v>
      </c>
      <c r="I40" s="56" t="s">
        <v>21</v>
      </c>
      <c r="J40" s="57" t="n">
        <v>45888</v>
      </c>
      <c r="K40" s="58" t="n">
        <v>1</v>
      </c>
      <c r="L40" s="59" t="n">
        <v>0.0583333333333333</v>
      </c>
      <c r="M40" s="31" t="s">
        <v>1137</v>
      </c>
      <c r="N40" s="5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customFormat="false" ht="22.5" hidden="false" customHeight="true" outlineLevel="0" collapsed="false">
      <c r="A41" s="63" t="n">
        <v>45888</v>
      </c>
      <c r="B41" s="1" t="n">
        <v>17</v>
      </c>
      <c r="C41" s="56" t="str">
        <f aca="false">IF(ISBLANK(A41), "--", PROPER(TEXT(A41, "dddd")))</f>
        <v>Tuesday</v>
      </c>
      <c r="D41" s="56" t="s">
        <v>785</v>
      </c>
      <c r="E41" s="56" t="s">
        <v>17</v>
      </c>
      <c r="F41" s="60" t="s">
        <v>1138</v>
      </c>
      <c r="G41" s="56" t="s">
        <v>19</v>
      </c>
      <c r="H41" s="56" t="s">
        <v>70</v>
      </c>
      <c r="I41" s="56" t="s">
        <v>21</v>
      </c>
      <c r="J41" s="57" t="n">
        <v>45898</v>
      </c>
      <c r="K41" s="58" t="n">
        <v>5</v>
      </c>
      <c r="L41" s="59" t="n">
        <v>0.231944444444444</v>
      </c>
      <c r="M41" s="31" t="s">
        <v>1139</v>
      </c>
      <c r="N41" s="5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customFormat="false" ht="22.5" hidden="false" customHeight="true" outlineLevel="0" collapsed="false">
      <c r="A42" s="63" t="n">
        <v>45888</v>
      </c>
      <c r="B42" s="1" t="n">
        <v>17</v>
      </c>
      <c r="C42" s="56" t="str">
        <f aca="false">IF(ISBLANK(A42), "--", PROPER(TEXT(A42, "dddd")))</f>
        <v>Tuesday</v>
      </c>
      <c r="D42" s="56" t="s">
        <v>145</v>
      </c>
      <c r="E42" s="56" t="s">
        <v>139</v>
      </c>
      <c r="F42" s="60" t="s">
        <v>1140</v>
      </c>
      <c r="G42" s="56" t="s">
        <v>19</v>
      </c>
      <c r="H42" s="56" t="s">
        <v>449</v>
      </c>
      <c r="I42" s="56" t="s">
        <v>21</v>
      </c>
      <c r="J42" s="57" t="n">
        <v>45897</v>
      </c>
      <c r="K42" s="58" t="n">
        <v>1</v>
      </c>
      <c r="L42" s="59" t="n">
        <v>0.0548611111111111</v>
      </c>
      <c r="M42" s="31" t="s">
        <v>1141</v>
      </c>
      <c r="N42" s="5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customFormat="false" ht="22.5" hidden="false" customHeight="true" outlineLevel="0" collapsed="false">
      <c r="A43" s="63" t="n">
        <v>45889</v>
      </c>
      <c r="B43" s="1" t="n">
        <v>17</v>
      </c>
      <c r="C43" s="56" t="str">
        <f aca="false">IF(ISBLANK(A43), "--", PROPER(TEXT(A43, "dddd")))</f>
        <v>Wednesday</v>
      </c>
      <c r="D43" s="56" t="s">
        <v>16</v>
      </c>
      <c r="E43" s="56" t="s">
        <v>17</v>
      </c>
      <c r="F43" s="60" t="s">
        <v>1142</v>
      </c>
      <c r="G43" s="56" t="s">
        <v>48</v>
      </c>
      <c r="H43" s="56" t="s">
        <v>70</v>
      </c>
      <c r="I43" s="56" t="s">
        <v>21</v>
      </c>
      <c r="J43" s="57" t="n">
        <v>45889</v>
      </c>
      <c r="K43" s="58" t="n">
        <v>2</v>
      </c>
      <c r="L43" s="59" t="n">
        <v>0.0520833333333333</v>
      </c>
      <c r="M43" s="31" t="s">
        <v>1143</v>
      </c>
      <c r="N43" s="5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customFormat="false" ht="22.5" hidden="false" customHeight="true" outlineLevel="0" collapsed="false">
      <c r="A44" s="63" t="n">
        <v>45889</v>
      </c>
      <c r="B44" s="1" t="n">
        <v>17</v>
      </c>
      <c r="C44" s="56" t="str">
        <f aca="false">IF(ISBLANK(A44), "--", PROPER(TEXT(A44, "dddd")))</f>
        <v>Wednesday</v>
      </c>
      <c r="D44" s="56" t="s">
        <v>16</v>
      </c>
      <c r="E44" s="56" t="s">
        <v>17</v>
      </c>
      <c r="F44" s="60" t="s">
        <v>1144</v>
      </c>
      <c r="G44" s="56" t="s">
        <v>48</v>
      </c>
      <c r="H44" s="56" t="s">
        <v>449</v>
      </c>
      <c r="I44" s="56" t="s">
        <v>21</v>
      </c>
      <c r="J44" s="57" t="n">
        <v>45889</v>
      </c>
      <c r="K44" s="58" t="n">
        <v>2</v>
      </c>
      <c r="L44" s="59" t="n">
        <v>0.0326388888888889</v>
      </c>
      <c r="M44" s="31" t="s">
        <v>1145</v>
      </c>
      <c r="N44" s="5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customFormat="false" ht="22.5" hidden="false" customHeight="true" outlineLevel="0" collapsed="false">
      <c r="A45" s="63" t="n">
        <v>45890</v>
      </c>
      <c r="B45" s="1" t="n">
        <v>17</v>
      </c>
      <c r="C45" s="56" t="str">
        <f aca="false">IF(ISBLANK(A45), "--", PROPER(TEXT(A45, "dddd")))</f>
        <v>Thursday</v>
      </c>
      <c r="D45" s="56" t="s">
        <v>145</v>
      </c>
      <c r="E45" s="56" t="s">
        <v>139</v>
      </c>
      <c r="F45" s="60" t="s">
        <v>1146</v>
      </c>
      <c r="G45" s="56" t="s">
        <v>48</v>
      </c>
      <c r="H45" s="56" t="s">
        <v>141</v>
      </c>
      <c r="I45" s="56" t="s">
        <v>21</v>
      </c>
      <c r="J45" s="57" t="n">
        <v>45890</v>
      </c>
      <c r="K45" s="58" t="n">
        <v>0.5</v>
      </c>
      <c r="L45" s="59" t="n">
        <v>0.00972222222222222</v>
      </c>
      <c r="M45" s="31" t="s">
        <v>1147</v>
      </c>
      <c r="N45" s="5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customFormat="false" ht="22.5" hidden="false" customHeight="true" outlineLevel="0" collapsed="false">
      <c r="A46" s="63" t="n">
        <v>45891</v>
      </c>
      <c r="B46" s="1" t="n">
        <v>17</v>
      </c>
      <c r="C46" s="56" t="str">
        <f aca="false">IF(ISBLANK(A46), "--", PROPER(TEXT(A46, "dddd")))</f>
        <v>Friday</v>
      </c>
      <c r="D46" s="56" t="s">
        <v>134</v>
      </c>
      <c r="E46" s="56" t="s">
        <v>17</v>
      </c>
      <c r="F46" s="60" t="s">
        <v>1148</v>
      </c>
      <c r="G46" s="56" t="s">
        <v>48</v>
      </c>
      <c r="H46" s="56" t="s">
        <v>70</v>
      </c>
      <c r="I46" s="56" t="s">
        <v>21</v>
      </c>
      <c r="J46" s="57" t="n">
        <v>45897</v>
      </c>
      <c r="K46" s="58" t="n">
        <v>2</v>
      </c>
      <c r="L46" s="59" t="n">
        <v>0.0979166666666667</v>
      </c>
      <c r="M46" s="31" t="s">
        <v>1149</v>
      </c>
      <c r="N46" s="5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customFormat="false" ht="22.5" hidden="false" customHeight="true" outlineLevel="0" collapsed="false">
      <c r="A47" s="63" t="n">
        <v>45891</v>
      </c>
      <c r="B47" s="1" t="n">
        <v>17</v>
      </c>
      <c r="C47" s="56" t="str">
        <f aca="false">IF(ISBLANK(A47), "--", PROPER(TEXT(A47, "dddd")))</f>
        <v>Friday</v>
      </c>
      <c r="D47" s="56" t="s">
        <v>16</v>
      </c>
      <c r="E47" s="56" t="s">
        <v>17</v>
      </c>
      <c r="F47" s="60" t="s">
        <v>1150</v>
      </c>
      <c r="G47" s="56" t="s">
        <v>48</v>
      </c>
      <c r="H47" s="56" t="s">
        <v>449</v>
      </c>
      <c r="I47" s="56" t="s">
        <v>21</v>
      </c>
      <c r="J47" s="57" t="n">
        <v>45901</v>
      </c>
      <c r="K47" s="58" t="n">
        <v>3</v>
      </c>
      <c r="L47" s="59" t="n">
        <v>0.383333333333333</v>
      </c>
      <c r="M47" s="61" t="s">
        <v>1151</v>
      </c>
      <c r="N47" s="5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customFormat="false" ht="22.5" hidden="false" customHeight="true" outlineLevel="0" collapsed="false">
      <c r="A48" s="63" t="n">
        <v>45891</v>
      </c>
      <c r="B48" s="1" t="n">
        <v>17</v>
      </c>
      <c r="C48" s="56" t="str">
        <f aca="false">IF(ISBLANK(A48), "--", PROPER(TEXT(A48, "dddd")))</f>
        <v>Friday</v>
      </c>
      <c r="D48" s="56" t="s">
        <v>46</v>
      </c>
      <c r="E48" s="56" t="s">
        <v>17</v>
      </c>
      <c r="F48" s="60" t="s">
        <v>1152</v>
      </c>
      <c r="G48" s="56" t="s">
        <v>179</v>
      </c>
      <c r="H48" s="56" t="s">
        <v>449</v>
      </c>
      <c r="I48" s="56" t="s">
        <v>21</v>
      </c>
      <c r="J48" s="57" t="n">
        <v>45918</v>
      </c>
      <c r="K48" s="58" t="n">
        <v>2</v>
      </c>
      <c r="L48" s="59" t="n">
        <v>0.0993055555555556</v>
      </c>
      <c r="M48" s="31" t="s">
        <v>1153</v>
      </c>
      <c r="N48" s="5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customFormat="false" ht="22.5" hidden="false" customHeight="true" outlineLevel="0" collapsed="false">
      <c r="A49" s="63" t="n">
        <v>45894</v>
      </c>
      <c r="B49" s="1" t="n">
        <v>17</v>
      </c>
      <c r="C49" s="56" t="str">
        <f aca="false">IF(ISBLANK(A49), "--", PROPER(TEXT(A49, "dddd")))</f>
        <v>Monday</v>
      </c>
      <c r="D49" s="56" t="s">
        <v>16</v>
      </c>
      <c r="E49" s="56" t="s">
        <v>17</v>
      </c>
      <c r="F49" s="60" t="s">
        <v>1154</v>
      </c>
      <c r="G49" s="56" t="s">
        <v>19</v>
      </c>
      <c r="H49" s="56" t="s">
        <v>449</v>
      </c>
      <c r="I49" s="56" t="s">
        <v>21</v>
      </c>
      <c r="J49" s="57" t="n">
        <v>45895</v>
      </c>
      <c r="K49" s="58" t="n">
        <v>2</v>
      </c>
      <c r="L49" s="59" t="n">
        <v>0.0736111111111111</v>
      </c>
      <c r="M49" s="61" t="s">
        <v>1155</v>
      </c>
      <c r="N49" s="5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customFormat="false" ht="22.5" hidden="false" customHeight="true" outlineLevel="0" collapsed="false">
      <c r="A50" s="63" t="n">
        <v>45894</v>
      </c>
      <c r="B50" s="1" t="n">
        <v>17</v>
      </c>
      <c r="C50" s="56" t="str">
        <f aca="false">IF(ISBLANK(A50), "--", PROPER(TEXT(A50, "dddd")))</f>
        <v>Monday</v>
      </c>
      <c r="D50" s="56" t="s">
        <v>145</v>
      </c>
      <c r="E50" s="56" t="s">
        <v>139</v>
      </c>
      <c r="F50" s="60" t="s">
        <v>1156</v>
      </c>
      <c r="G50" s="56" t="s">
        <v>19</v>
      </c>
      <c r="H50" s="56" t="s">
        <v>141</v>
      </c>
      <c r="I50" s="56" t="s">
        <v>21</v>
      </c>
      <c r="J50" s="57" t="n">
        <v>45894</v>
      </c>
      <c r="K50" s="58" t="n">
        <v>0.5</v>
      </c>
      <c r="L50" s="59" t="n">
        <v>0.0111111111111111</v>
      </c>
      <c r="M50" s="31" t="s">
        <v>1157</v>
      </c>
      <c r="N50" s="5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</row>
    <row r="51" customFormat="false" ht="22.5" hidden="false" customHeight="true" outlineLevel="0" collapsed="false">
      <c r="A51" s="63" t="n">
        <v>45894</v>
      </c>
      <c r="B51" s="1" t="n">
        <v>17</v>
      </c>
      <c r="C51" s="56" t="str">
        <f aca="false">IF(ISBLANK(A51), "--", PROPER(TEXT(A51, "dddd")))</f>
        <v>Monday</v>
      </c>
      <c r="D51" s="56" t="s">
        <v>145</v>
      </c>
      <c r="E51" s="56" t="s">
        <v>139</v>
      </c>
      <c r="F51" s="60" t="s">
        <v>1158</v>
      </c>
      <c r="G51" s="56" t="s">
        <v>19</v>
      </c>
      <c r="H51" s="56" t="s">
        <v>141</v>
      </c>
      <c r="I51" s="56" t="s">
        <v>21</v>
      </c>
      <c r="J51" s="57" t="n">
        <v>45894</v>
      </c>
      <c r="K51" s="58" t="n">
        <v>1</v>
      </c>
      <c r="L51" s="59" t="n">
        <v>0.0777777777777778</v>
      </c>
      <c r="M51" s="31" t="s">
        <v>1159</v>
      </c>
      <c r="N51" s="56"/>
    </row>
    <row r="52" customFormat="false" ht="22.5" hidden="false" customHeight="true" outlineLevel="0" collapsed="false">
      <c r="A52" s="63" t="n">
        <v>45894</v>
      </c>
      <c r="B52" s="1" t="n">
        <v>17</v>
      </c>
      <c r="C52" s="56" t="str">
        <f aca="false">IF(ISBLANK(A52), "--", PROPER(TEXT(A52, "dddd")))</f>
        <v>Monday</v>
      </c>
      <c r="D52" s="56" t="s">
        <v>16</v>
      </c>
      <c r="E52" s="56" t="s">
        <v>17</v>
      </c>
      <c r="F52" s="60" t="s">
        <v>1160</v>
      </c>
      <c r="G52" s="56" t="s">
        <v>19</v>
      </c>
      <c r="H52" s="56" t="s">
        <v>449</v>
      </c>
      <c r="I52" s="56" t="s">
        <v>21</v>
      </c>
      <c r="J52" s="57" t="n">
        <v>45895</v>
      </c>
      <c r="K52" s="58" t="n">
        <v>2</v>
      </c>
      <c r="L52" s="59" t="n">
        <v>0.102083333333333</v>
      </c>
      <c r="M52" s="31" t="s">
        <v>1161</v>
      </c>
      <c r="N52" s="56"/>
    </row>
    <row r="53" customFormat="false" ht="22.5" hidden="false" customHeight="true" outlineLevel="0" collapsed="false">
      <c r="A53" s="63" t="n">
        <v>45895</v>
      </c>
      <c r="B53" s="1" t="n">
        <v>17</v>
      </c>
      <c r="C53" s="56" t="str">
        <f aca="false">IF(ISBLANK(A53), "--", PROPER(TEXT(A53, "dddd")))</f>
        <v>Tuesday</v>
      </c>
      <c r="D53" s="56" t="s">
        <v>145</v>
      </c>
      <c r="E53" s="56" t="s">
        <v>139</v>
      </c>
      <c r="F53" s="60" t="s">
        <v>1162</v>
      </c>
      <c r="G53" s="56" t="s">
        <v>19</v>
      </c>
      <c r="H53" s="56" t="s">
        <v>141</v>
      </c>
      <c r="I53" s="56" t="s">
        <v>21</v>
      </c>
      <c r="J53" s="57" t="n">
        <v>45895</v>
      </c>
      <c r="K53" s="58" t="n">
        <v>1</v>
      </c>
      <c r="L53" s="59" t="n">
        <v>0.0375</v>
      </c>
      <c r="M53" s="31" t="s">
        <v>1163</v>
      </c>
      <c r="N53" s="56"/>
    </row>
    <row r="54" customFormat="false" ht="22.5" hidden="false" customHeight="true" outlineLevel="0" collapsed="false">
      <c r="A54" s="63" t="n">
        <v>45895</v>
      </c>
      <c r="B54" s="1" t="n">
        <v>17</v>
      </c>
      <c r="C54" s="56" t="str">
        <f aca="false">IF(ISBLANK(A54), "--", PROPER(TEXT(A54, "dddd")))</f>
        <v>Tuesday</v>
      </c>
      <c r="D54" s="56" t="s">
        <v>145</v>
      </c>
      <c r="E54" s="56" t="s">
        <v>139</v>
      </c>
      <c r="F54" s="60" t="s">
        <v>1164</v>
      </c>
      <c r="G54" s="56" t="s">
        <v>19</v>
      </c>
      <c r="H54" s="56" t="s">
        <v>141</v>
      </c>
      <c r="I54" s="56" t="s">
        <v>21</v>
      </c>
      <c r="J54" s="57" t="n">
        <v>45895</v>
      </c>
      <c r="K54" s="58" t="n">
        <v>0.5</v>
      </c>
      <c r="L54" s="59" t="n">
        <v>0.00902777777777778</v>
      </c>
      <c r="M54" s="61" t="s">
        <v>1165</v>
      </c>
      <c r="N54" s="56"/>
    </row>
    <row r="55" customFormat="false" ht="22.5" hidden="false" customHeight="true" outlineLevel="0" collapsed="false">
      <c r="A55" s="63" t="n">
        <v>45895</v>
      </c>
      <c r="B55" s="1" t="n">
        <v>17</v>
      </c>
      <c r="C55" s="56" t="str">
        <f aca="false">IF(ISBLANK(A55), "--", PROPER(TEXT(A55, "dddd")))</f>
        <v>Tuesday</v>
      </c>
      <c r="D55" s="56" t="s">
        <v>16</v>
      </c>
      <c r="E55" s="56" t="s">
        <v>17</v>
      </c>
      <c r="F55" s="60" t="s">
        <v>1166</v>
      </c>
      <c r="G55" s="56" t="s">
        <v>48</v>
      </c>
      <c r="H55" s="56" t="s">
        <v>449</v>
      </c>
      <c r="I55" s="56" t="s">
        <v>314</v>
      </c>
      <c r="J55" s="57"/>
      <c r="K55" s="58" t="n">
        <v>2</v>
      </c>
      <c r="L55" s="59"/>
      <c r="M55" s="61" t="s">
        <v>1167</v>
      </c>
      <c r="N55" s="56"/>
    </row>
    <row r="56" customFormat="false" ht="22.5" hidden="false" customHeight="true" outlineLevel="0" collapsed="false">
      <c r="A56" s="63" t="n">
        <v>45896</v>
      </c>
      <c r="B56" s="1" t="n">
        <v>17</v>
      </c>
      <c r="C56" s="56" t="str">
        <f aca="false">IF(ISBLANK(A56), "--", PROPER(TEXT(A56, "dddd")))</f>
        <v>Wednesday</v>
      </c>
      <c r="D56" s="56" t="s">
        <v>167</v>
      </c>
      <c r="E56" s="56" t="s">
        <v>17</v>
      </c>
      <c r="F56" s="60" t="s">
        <v>1168</v>
      </c>
      <c r="G56" s="56" t="s">
        <v>19</v>
      </c>
      <c r="H56" s="56" t="s">
        <v>449</v>
      </c>
      <c r="I56" s="56" t="s">
        <v>21</v>
      </c>
      <c r="J56" s="57" t="n">
        <v>45898</v>
      </c>
      <c r="K56" s="58" t="n">
        <v>2</v>
      </c>
      <c r="L56" s="59" t="n">
        <v>0.173611111111111</v>
      </c>
      <c r="M56" s="31" t="s">
        <v>1169</v>
      </c>
      <c r="N56" s="56"/>
    </row>
    <row r="57" customFormat="false" ht="22.5" hidden="false" customHeight="true" outlineLevel="0" collapsed="false">
      <c r="A57" s="63" t="n">
        <v>45896</v>
      </c>
      <c r="B57" s="1" t="n">
        <v>17</v>
      </c>
      <c r="C57" s="56" t="str">
        <f aca="false">IF(ISBLANK(A57), "--", PROPER(TEXT(A57, "dddd")))</f>
        <v>Wednesday</v>
      </c>
      <c r="D57" s="56" t="s">
        <v>145</v>
      </c>
      <c r="E57" s="56" t="s">
        <v>139</v>
      </c>
      <c r="F57" s="60" t="s">
        <v>1170</v>
      </c>
      <c r="G57" s="56" t="s">
        <v>77</v>
      </c>
      <c r="H57" s="56" t="s">
        <v>141</v>
      </c>
      <c r="I57" s="56" t="s">
        <v>21</v>
      </c>
      <c r="J57" s="57" t="n">
        <v>45896</v>
      </c>
      <c r="K57" s="58" t="n">
        <v>0.5</v>
      </c>
      <c r="L57" s="59" t="n">
        <v>0.000694444444444445</v>
      </c>
      <c r="M57" s="31" t="s">
        <v>1171</v>
      </c>
      <c r="N57" s="56"/>
    </row>
    <row r="58" customFormat="false" ht="22.5" hidden="false" customHeight="true" outlineLevel="0" collapsed="false">
      <c r="A58" s="63" t="n">
        <v>45896</v>
      </c>
      <c r="B58" s="1" t="n">
        <v>17</v>
      </c>
      <c r="C58" s="56" t="str">
        <f aca="false">IF(ISBLANK(A58), "--", PROPER(TEXT(A58, "dddd")))</f>
        <v>Wednesday</v>
      </c>
      <c r="D58" s="56" t="s">
        <v>156</v>
      </c>
      <c r="E58" s="56" t="s">
        <v>17</v>
      </c>
      <c r="F58" s="60" t="s">
        <v>1172</v>
      </c>
      <c r="G58" s="56" t="s">
        <v>48</v>
      </c>
      <c r="H58" s="56" t="s">
        <v>34</v>
      </c>
      <c r="I58" s="56" t="s">
        <v>21</v>
      </c>
      <c r="J58" s="57" t="n">
        <v>45898</v>
      </c>
      <c r="K58" s="58" t="n">
        <v>2</v>
      </c>
      <c r="L58" s="59" t="n">
        <v>0.148611111111111</v>
      </c>
      <c r="M58" s="61" t="s">
        <v>1173</v>
      </c>
      <c r="N58" s="56"/>
    </row>
    <row r="59" customFormat="false" ht="22.5" hidden="false" customHeight="true" outlineLevel="0" collapsed="false">
      <c r="A59" s="63" t="n">
        <v>45896</v>
      </c>
      <c r="B59" s="1" t="n">
        <v>17</v>
      </c>
      <c r="C59" s="56" t="str">
        <f aca="false">IF(ISBLANK(A59), "--", PROPER(TEXT(A59, "dddd")))</f>
        <v>Wednesday</v>
      </c>
      <c r="D59" s="56" t="s">
        <v>46</v>
      </c>
      <c r="E59" s="56" t="s">
        <v>17</v>
      </c>
      <c r="F59" s="60" t="s">
        <v>1174</v>
      </c>
      <c r="G59" s="56" t="s">
        <v>19</v>
      </c>
      <c r="H59" s="56" t="s">
        <v>20</v>
      </c>
      <c r="I59" s="56" t="s">
        <v>21</v>
      </c>
      <c r="J59" s="57" t="n">
        <v>45898</v>
      </c>
      <c r="K59" s="58" t="n">
        <v>2</v>
      </c>
      <c r="L59" s="59" t="n">
        <v>0.140972222222222</v>
      </c>
      <c r="M59" s="31" t="s">
        <v>1175</v>
      </c>
      <c r="N59" s="56"/>
    </row>
    <row r="60" customFormat="false" ht="22.5" hidden="false" customHeight="true" outlineLevel="0" collapsed="false">
      <c r="A60" s="63" t="n">
        <v>45896</v>
      </c>
      <c r="B60" s="1" t="n">
        <v>17</v>
      </c>
      <c r="C60" s="56" t="str">
        <f aca="false">IF(ISBLANK(A60), "--", PROPER(TEXT(A60, "dddd")))</f>
        <v>Wednesday</v>
      </c>
      <c r="D60" s="56" t="s">
        <v>1176</v>
      </c>
      <c r="E60" s="56" t="s">
        <v>17</v>
      </c>
      <c r="F60" s="60" t="s">
        <v>1177</v>
      </c>
      <c r="G60" s="56" t="s">
        <v>19</v>
      </c>
      <c r="H60" s="56" t="s">
        <v>449</v>
      </c>
      <c r="I60" s="56" t="s">
        <v>21</v>
      </c>
      <c r="J60" s="57" t="n">
        <v>45897</v>
      </c>
      <c r="K60" s="58" t="n">
        <v>1</v>
      </c>
      <c r="L60" s="59" t="n">
        <v>0.05</v>
      </c>
      <c r="M60" s="31" t="s">
        <v>1178</v>
      </c>
      <c r="N60" s="56"/>
    </row>
    <row r="61" customFormat="false" ht="22.5" hidden="false" customHeight="true" outlineLevel="0" collapsed="false">
      <c r="A61" s="63" t="n">
        <v>45897</v>
      </c>
      <c r="B61" s="1" t="n">
        <v>17</v>
      </c>
      <c r="C61" s="56" t="str">
        <f aca="false">IF(ISBLANK(A61), "--", PROPER(TEXT(A61, "dddd")))</f>
        <v>Thursday</v>
      </c>
      <c r="D61" s="56" t="s">
        <v>134</v>
      </c>
      <c r="E61" s="56" t="s">
        <v>17</v>
      </c>
      <c r="F61" s="60" t="s">
        <v>1179</v>
      </c>
      <c r="G61" s="56" t="s">
        <v>77</v>
      </c>
      <c r="H61" s="56" t="s">
        <v>70</v>
      </c>
      <c r="I61" s="56" t="s">
        <v>21</v>
      </c>
      <c r="J61" s="57" t="n">
        <v>45897</v>
      </c>
      <c r="K61" s="58" t="n">
        <v>2</v>
      </c>
      <c r="L61" s="59" t="n">
        <v>0.104166666666667</v>
      </c>
      <c r="M61" s="31" t="s">
        <v>1180</v>
      </c>
      <c r="N61" s="56"/>
    </row>
    <row r="62" customFormat="false" ht="22.5" hidden="false" customHeight="true" outlineLevel="0" collapsed="false">
      <c r="A62" s="63" t="n">
        <v>45897</v>
      </c>
      <c r="B62" s="1" t="n">
        <v>17</v>
      </c>
      <c r="C62" s="56" t="str">
        <f aca="false">IF(ISBLANK(A62), "--", PROPER(TEXT(A62, "dddd")))</f>
        <v>Thursday</v>
      </c>
      <c r="D62" s="56" t="s">
        <v>145</v>
      </c>
      <c r="E62" s="56" t="s">
        <v>139</v>
      </c>
      <c r="F62" s="60" t="s">
        <v>1181</v>
      </c>
      <c r="G62" s="56" t="s">
        <v>19</v>
      </c>
      <c r="H62" s="56" t="s">
        <v>141</v>
      </c>
      <c r="I62" s="56" t="s">
        <v>21</v>
      </c>
      <c r="J62" s="57" t="n">
        <v>45897</v>
      </c>
      <c r="K62" s="58" t="n">
        <v>0.5</v>
      </c>
      <c r="L62" s="59" t="n">
        <v>0.00277777777777778</v>
      </c>
      <c r="M62" s="31" t="s">
        <v>1182</v>
      </c>
      <c r="N62" s="56"/>
    </row>
    <row r="63" customFormat="false" ht="22.5" hidden="false" customHeight="true" outlineLevel="0" collapsed="false">
      <c r="A63" s="63" t="n">
        <v>45897</v>
      </c>
      <c r="B63" s="1" t="n">
        <v>17</v>
      </c>
      <c r="C63" s="56" t="str">
        <f aca="false">IF(ISBLANK(A63), "--", PROPER(TEXT(A63, "dddd")))</f>
        <v>Thursday</v>
      </c>
      <c r="D63" s="56" t="s">
        <v>145</v>
      </c>
      <c r="E63" s="56" t="s">
        <v>139</v>
      </c>
      <c r="F63" s="60" t="s">
        <v>1183</v>
      </c>
      <c r="G63" s="56" t="s">
        <v>19</v>
      </c>
      <c r="H63" s="56" t="s">
        <v>141</v>
      </c>
      <c r="I63" s="56" t="s">
        <v>21</v>
      </c>
      <c r="J63" s="57" t="n">
        <v>45897</v>
      </c>
      <c r="K63" s="58" t="n">
        <v>0.5</v>
      </c>
      <c r="L63" s="59" t="n">
        <v>0.00902777777777778</v>
      </c>
      <c r="M63" s="31" t="s">
        <v>1184</v>
      </c>
      <c r="N63" s="56"/>
    </row>
    <row r="64" customFormat="false" ht="22.5" hidden="false" customHeight="true" outlineLevel="0" collapsed="false">
      <c r="A64" s="63" t="n">
        <v>45898</v>
      </c>
      <c r="B64" s="1" t="n">
        <v>17</v>
      </c>
      <c r="C64" s="56" t="str">
        <f aca="false">IF(ISBLANK(A64), "--", PROPER(TEXT(A64, "dddd")))</f>
        <v>Friday</v>
      </c>
      <c r="D64" s="56" t="s">
        <v>16</v>
      </c>
      <c r="E64" s="56" t="s">
        <v>17</v>
      </c>
      <c r="F64" s="60" t="s">
        <v>1185</v>
      </c>
      <c r="G64" s="56" t="s">
        <v>19</v>
      </c>
      <c r="H64" s="56" t="s">
        <v>449</v>
      </c>
      <c r="I64" s="56" t="s">
        <v>21</v>
      </c>
      <c r="J64" s="57" t="n">
        <v>45901</v>
      </c>
      <c r="K64" s="58"/>
      <c r="L64" s="59" t="n">
        <v>0.223611111111111</v>
      </c>
      <c r="M64" s="61" t="s">
        <v>1186</v>
      </c>
      <c r="N64" s="56"/>
    </row>
    <row r="65" customFormat="false" ht="15.7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 customFormat="false" ht="15.7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  <c r="N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  <c r="N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  <c r="N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  <c r="N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  <c r="N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  <c r="N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  <c r="N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  <c r="N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  <c r="N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  <c r="N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  <c r="N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  <c r="N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  <c r="N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  <c r="N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  <c r="N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  <c r="N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  <c r="N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  <c r="N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  <c r="N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  <c r="N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  <c r="N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  <c r="N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  <c r="N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  <c r="N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  <c r="N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  <c r="N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  <c r="N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  <c r="N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  <c r="N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  <c r="N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  <c r="N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  <c r="N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  <c r="N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  <c r="N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  <c r="N898" s="44"/>
    </row>
    <row r="899" customFormat="false" ht="15.75" hidden="false" customHeight="false" outlineLevel="0" collapsed="false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6"/>
      <c r="L899" s="44"/>
      <c r="M899" s="44"/>
      <c r="N899" s="44"/>
    </row>
    <row r="900" customFormat="false" ht="15.75" hidden="false" customHeight="false" outlineLevel="0" collapsed="false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6"/>
      <c r="L900" s="44"/>
      <c r="M900" s="44"/>
      <c r="N900" s="44"/>
    </row>
    <row r="901" customFormat="false" ht="15.75" hidden="false" customHeight="false" outlineLevel="0" collapsed="false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6"/>
      <c r="L901" s="44"/>
      <c r="M901" s="44"/>
      <c r="N901" s="44"/>
    </row>
    <row r="902" customFormat="false" ht="15.75" hidden="false" customHeight="false" outlineLevel="0" collapsed="false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6"/>
      <c r="L902" s="44"/>
      <c r="M902" s="44"/>
      <c r="N902" s="44"/>
    </row>
    <row r="903" customFormat="false" ht="15.75" hidden="false" customHeight="false" outlineLevel="0" collapsed="false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6"/>
      <c r="L903" s="44"/>
      <c r="M903" s="44"/>
      <c r="N903" s="44"/>
    </row>
    <row r="904" customFormat="false" ht="15.75" hidden="false" customHeight="false" outlineLevel="0" collapsed="false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6"/>
      <c r="L904" s="44"/>
      <c r="M904" s="44"/>
      <c r="N904" s="44"/>
    </row>
    <row r="905" customFormat="false" ht="15.75" hidden="false" customHeight="false" outlineLevel="0" collapsed="false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6"/>
      <c r="L905" s="44"/>
      <c r="M905" s="44"/>
      <c r="N905" s="44"/>
    </row>
    <row r="906" customFormat="false" ht="15.75" hidden="false" customHeight="false" outlineLevel="0" collapsed="false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6"/>
      <c r="L906" s="44"/>
      <c r="M906" s="44"/>
      <c r="N906" s="44"/>
    </row>
    <row r="907" customFormat="false" ht="15.75" hidden="false" customHeight="false" outlineLevel="0" collapsed="false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6"/>
      <c r="L907" s="44"/>
      <c r="M907" s="44"/>
      <c r="N907" s="44"/>
    </row>
    <row r="908" customFormat="false" ht="15.75" hidden="false" customHeight="false" outlineLevel="0" collapsed="false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6"/>
      <c r="L908" s="44"/>
      <c r="M908" s="44"/>
      <c r="N908" s="44"/>
    </row>
    <row r="909" customFormat="false" ht="15.75" hidden="false" customHeight="false" outlineLevel="0" collapsed="false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6"/>
      <c r="L909" s="44"/>
      <c r="M909" s="44"/>
      <c r="N909" s="44"/>
    </row>
    <row r="910" customFormat="false" ht="15.75" hidden="false" customHeight="false" outlineLevel="0" collapsed="false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6"/>
      <c r="L910" s="44"/>
      <c r="M910" s="44"/>
      <c r="N910" s="44"/>
    </row>
    <row r="911" customFormat="false" ht="15.75" hidden="false" customHeight="false" outlineLevel="0" collapsed="false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6"/>
      <c r="L911" s="44"/>
      <c r="M911" s="44"/>
      <c r="N911" s="44"/>
    </row>
    <row r="912" customFormat="false" ht="15.75" hidden="false" customHeight="false" outlineLevel="0" collapsed="false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6"/>
      <c r="L912" s="44"/>
      <c r="M912" s="44"/>
      <c r="N912" s="44"/>
    </row>
    <row r="913" customFormat="false" ht="15.75" hidden="false" customHeight="false" outlineLevel="0" collapsed="false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6"/>
      <c r="L913" s="44"/>
      <c r="M913" s="44"/>
      <c r="N913" s="44"/>
    </row>
    <row r="914" customFormat="false" ht="15.75" hidden="false" customHeight="false" outlineLevel="0" collapsed="false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6"/>
      <c r="L914" s="44"/>
      <c r="M914" s="44"/>
      <c r="N914" s="44"/>
    </row>
    <row r="915" customFormat="false" ht="15.75" hidden="false" customHeight="false" outlineLevel="0" collapsed="false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6"/>
      <c r="L915" s="44"/>
      <c r="M915" s="44"/>
      <c r="N915" s="44"/>
    </row>
    <row r="916" customFormat="false" ht="15.75" hidden="false" customHeight="false" outlineLevel="0" collapsed="false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6"/>
      <c r="L916" s="44"/>
      <c r="M916" s="44"/>
      <c r="N916" s="44"/>
    </row>
    <row r="917" customFormat="false" ht="15.75" hidden="false" customHeight="false" outlineLevel="0" collapsed="false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6"/>
      <c r="L917" s="44"/>
      <c r="M917" s="44"/>
      <c r="N917" s="44"/>
    </row>
    <row r="918" customFormat="false" ht="15.75" hidden="false" customHeight="false" outlineLevel="0" collapsed="false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6"/>
      <c r="L918" s="44"/>
      <c r="M918" s="44"/>
      <c r="N918" s="44"/>
    </row>
    <row r="919" customFormat="false" ht="15.75" hidden="false" customHeight="false" outlineLevel="0" collapsed="false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6"/>
      <c r="L919" s="44"/>
      <c r="M919" s="44"/>
      <c r="N919" s="44"/>
    </row>
    <row r="920" customFormat="false" ht="15.75" hidden="false" customHeight="false" outlineLevel="0" collapsed="false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6"/>
      <c r="L920" s="44"/>
      <c r="M920" s="44"/>
      <c r="N920" s="44"/>
    </row>
    <row r="921" customFormat="false" ht="15.75" hidden="false" customHeight="false" outlineLevel="0" collapsed="false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6"/>
      <c r="L921" s="44"/>
      <c r="M921" s="44"/>
      <c r="N921" s="44"/>
    </row>
    <row r="922" customFormat="false" ht="15.75" hidden="false" customHeight="false" outlineLevel="0" collapsed="false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6"/>
      <c r="L922" s="44"/>
      <c r="M922" s="44"/>
      <c r="N922" s="44"/>
    </row>
    <row r="923" customFormat="false" ht="15.75" hidden="false" customHeight="false" outlineLevel="0" collapsed="false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6"/>
      <c r="L923" s="44"/>
      <c r="M923" s="44"/>
      <c r="N923" s="44"/>
    </row>
    <row r="924" customFormat="false" ht="15.75" hidden="false" customHeight="false" outlineLevel="0" collapsed="false">
      <c r="B924" s="44"/>
      <c r="K924" s="46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false" outlineLevel="0" collapsed="false">
      <c r="B936" s="44"/>
      <c r="K936" s="46"/>
    </row>
    <row r="937" customFormat="false" ht="15.75" hidden="false" customHeight="false" outlineLevel="0" collapsed="false">
      <c r="B937" s="44"/>
      <c r="K937" s="46"/>
    </row>
    <row r="938" customFormat="false" ht="15.75" hidden="false" customHeight="false" outlineLevel="0" collapsed="false">
      <c r="B938" s="44"/>
      <c r="K938" s="46"/>
    </row>
    <row r="939" customFormat="false" ht="15.75" hidden="false" customHeight="false" outlineLevel="0" collapsed="false">
      <c r="B939" s="44"/>
      <c r="K939" s="46"/>
    </row>
    <row r="940" customFormat="false" ht="15.75" hidden="false" customHeight="false" outlineLevel="0" collapsed="false">
      <c r="B940" s="44"/>
      <c r="K940" s="46"/>
    </row>
    <row r="941" customFormat="false" ht="15.75" hidden="false" customHeight="false" outlineLevel="0" collapsed="false">
      <c r="B941" s="44"/>
      <c r="K941" s="46"/>
    </row>
    <row r="942" customFormat="false" ht="15.75" hidden="false" customHeight="false" outlineLevel="0" collapsed="false">
      <c r="B942" s="44"/>
      <c r="K942" s="46"/>
    </row>
    <row r="943" customFormat="false" ht="15.75" hidden="false" customHeight="false" outlineLevel="0" collapsed="false">
      <c r="B943" s="44"/>
      <c r="K943" s="46"/>
    </row>
    <row r="944" customFormat="false" ht="15.75" hidden="false" customHeight="false" outlineLevel="0" collapsed="false">
      <c r="B944" s="44"/>
      <c r="K944" s="46"/>
    </row>
    <row r="945" customFormat="false" ht="15.75" hidden="false" customHeight="false" outlineLevel="0" collapsed="false">
      <c r="B945" s="44"/>
      <c r="K945" s="46"/>
    </row>
    <row r="946" customFormat="false" ht="15.75" hidden="false" customHeight="false" outlineLevel="0" collapsed="false">
      <c r="B946" s="44"/>
      <c r="K946" s="46"/>
    </row>
    <row r="947" customFormat="false" ht="15.75" hidden="false" customHeight="false" outlineLevel="0" collapsed="false">
      <c r="B947" s="44"/>
      <c r="K947" s="46"/>
    </row>
    <row r="948" customFormat="false" ht="15.75" hidden="false" customHeight="false" outlineLevel="0" collapsed="false">
      <c r="B948" s="44"/>
      <c r="K948" s="46"/>
    </row>
    <row r="949" customFormat="false" ht="15.75" hidden="false" customHeight="false" outlineLevel="0" collapsed="false">
      <c r="B949" s="44"/>
      <c r="K949" s="46"/>
    </row>
    <row r="950" customFormat="false" ht="15.75" hidden="false" customHeight="false" outlineLevel="0" collapsed="false">
      <c r="B950" s="44"/>
      <c r="K950" s="46"/>
    </row>
    <row r="951" customFormat="false" ht="15.75" hidden="false" customHeight="false" outlineLevel="0" collapsed="false">
      <c r="B951" s="44"/>
      <c r="K951" s="46"/>
    </row>
    <row r="952" customFormat="false" ht="15.75" hidden="false" customHeight="false" outlineLevel="0" collapsed="false">
      <c r="B952" s="44"/>
      <c r="K952" s="46"/>
    </row>
    <row r="953" customFormat="false" ht="15.75" hidden="false" customHeight="false" outlineLevel="0" collapsed="false">
      <c r="B953" s="44"/>
      <c r="K953" s="46"/>
    </row>
    <row r="954" customFormat="false" ht="15.75" hidden="false" customHeight="false" outlineLevel="0" collapsed="false">
      <c r="B954" s="44"/>
      <c r="K954" s="46"/>
    </row>
    <row r="955" customFormat="false" ht="15.75" hidden="false" customHeight="false" outlineLevel="0" collapsed="false">
      <c r="B955" s="44"/>
      <c r="K955" s="46"/>
    </row>
    <row r="956" customFormat="false" ht="15.75" hidden="false" customHeight="false" outlineLevel="0" collapsed="false">
      <c r="B956" s="44"/>
      <c r="K956" s="46"/>
    </row>
    <row r="957" customFormat="false" ht="15.75" hidden="false" customHeight="false" outlineLevel="0" collapsed="false">
      <c r="B957" s="44"/>
      <c r="K957" s="46"/>
    </row>
    <row r="958" customFormat="false" ht="15.75" hidden="false" customHeight="false" outlineLevel="0" collapsed="false">
      <c r="B958" s="44"/>
      <c r="K958" s="46"/>
    </row>
    <row r="959" customFormat="false" ht="15.75" hidden="false" customHeight="false" outlineLevel="0" collapsed="false">
      <c r="B959" s="44"/>
      <c r="K959" s="46"/>
    </row>
    <row r="960" customFormat="false" ht="15.75" hidden="false" customHeight="false" outlineLevel="0" collapsed="false">
      <c r="B960" s="44"/>
      <c r="K960" s="46"/>
    </row>
    <row r="961" customFormat="false" ht="15.75" hidden="false" customHeight="true" outlineLevel="0" collapsed="false">
      <c r="B961" s="44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9">
    <dataValidation allowBlank="true" errorStyle="stop" operator="between" showDropDown="true" showErrorMessage="false" showInputMessage="false" sqref="F2:F64" type="none">
      <formula1>0</formula1>
      <formula2>0</formula2>
    </dataValidation>
    <dataValidation allowBlank="true" errorStyle="stop" operator="between" showDropDown="false" showErrorMessage="true" showInputMessage="false" sqref="C2:C64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H2:H64" type="list">
      <formula1>"Iván,Andrés,José,Héctor,Mateo,--,Carlos M,Johan,Fernando,Elkin ,Felipe,Camilo "</formula1>
      <formula2>0</formula2>
    </dataValidation>
    <dataValidation allowBlank="true" errorStyle="stop" operator="between" showDropDown="false" showErrorMessage="true" showInputMessage="false" sqref="G2:G64" type="list">
      <formula1>"Alta,Normal,Urgente,Baja,--"</formula1>
      <formula2>0</formula2>
    </dataValidation>
    <dataValidation allowBlank="true" errorStyle="stop" operator="between" showDropDown="true" showErrorMessage="false" showInputMessage="false" sqref="A2:A64 J2:J64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I2:I64" type="list">
      <formula1>"Closed,Ready for testing ,Open,Under review,Partially Done,In progress,Approved,--,Needs more work,Deploy to production,Code Approved"</formula1>
      <formula2>0</formula2>
    </dataValidation>
    <dataValidation allowBlank="true" errorStyle="stop" operator="between" showDropDown="true" showErrorMessage="false" showInputMessage="false" sqref="K2:K64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E2:E64" type="list">
      <formula1>"Ajustes,Soporte,Mejoras,Corrección,Configuraciones,Revisión,--,Pagina Web,IT,Error,Blue,SOLICITUD ,PENDIENTE,Cotización ,Production "</formula1>
      <formula2>0</formula2>
    </dataValidation>
    <dataValidation allowBlank="true" errorStyle="stop" operator="between" showDropDown="false" showErrorMessage="false" showInputMessage="false" sqref="D2:D64" type="list">
      <formula1>"Faktur,Backpro,Zuckerman,Facialart,Dejusticia,Happycinamon,Nulab,Ncarb,ECOS,IDK,BMS,--,Swapps,WWilson,Tabby,Smart Web Apps,Comfinagro,IMC,Geosig,Soluciones Cientificas,ESCR"</formula1>
      <formula2>0</formula2>
    </dataValidation>
  </dataValidations>
  <hyperlinks>
    <hyperlink ref="M2" r:id="rId2" display="https://app.clickup.com/t/86b5zydfx"/>
    <hyperlink ref="M3" r:id="rId3" display="https://app.clickup.com/t/86b5zxja3"/>
    <hyperlink ref="M4" r:id="rId4" display="https://app.clickup.com/t/86b60321h"/>
    <hyperlink ref="M5" r:id="rId5" display="https://app.clickup.com/t/86b61p2x1"/>
    <hyperlink ref="M6" r:id="rId6" display="https://app.clickup.com/t/86b61u762"/>
    <hyperlink ref="M7" r:id="rId7" display="https://app.clickup.com/t/86b61ucue"/>
    <hyperlink ref="M8" r:id="rId8" display="https://app.clickup.com/t/86b61uykz"/>
    <hyperlink ref="M9" r:id="rId9" display="https://app.clickup.com/t/86b61vhkm"/>
    <hyperlink ref="M10" r:id="rId10" display="https://app.clickup.com/t/86b621ajx"/>
    <hyperlink ref="M11" r:id="rId11" display="https://app.clickup.com/t/86b623ftd"/>
    <hyperlink ref="M12" r:id="rId12" display="https://app.clickup.com/t/86b61vhkm"/>
    <hyperlink ref="M13" r:id="rId13" display="https://app.clickup.com/t/86b62wuzz"/>
    <hyperlink ref="M14" r:id="rId14" display="https://app.clickup.com/t/86b62va6r"/>
    <hyperlink ref="M15" r:id="rId15" display="https://app.clickup.com/t/86b62x0wz"/>
    <hyperlink ref="M16" r:id="rId16" display="https://app.clickup.com/t/86b639rra"/>
    <hyperlink ref="M17" r:id="rId17" display="https://app.clickup.com/t/86b639t1m"/>
    <hyperlink ref="M18" r:id="rId18" display="https://app.clickup.com/t/86b63yqg2"/>
    <hyperlink ref="M19" r:id="rId19" display="https://app.clickup.com/t/86b648k4z"/>
    <hyperlink ref="M20" r:id="rId20" display="https://app.clickup.com/t/86b649uue"/>
    <hyperlink ref="M21" r:id="rId21" display="https://app.clickup.com/t/86b64ang2"/>
    <hyperlink ref="M22" r:id="rId22" display="https://app.clickup.com/t/86b65z3vd"/>
    <hyperlink ref="M23" r:id="rId23" display="https://app.clickup.com/t/86b64cgu0"/>
    <hyperlink ref="M24" r:id="rId24" display="https://app.clickup.com/t/86b63xfvh"/>
    <hyperlink ref="M25" r:id="rId25" display="https://app.clickup.com/t/86b6614z6"/>
    <hyperlink ref="M26" r:id="rId26" display="https://app.clickup.com/t/86b66312g"/>
    <hyperlink ref="M27" r:id="rId27" display="https://app.clickup.com/t/86b66109e"/>
    <hyperlink ref="M28" r:id="rId28" display="https://app.clickup.com/t/86b667hz6"/>
    <hyperlink ref="M29" r:id="rId29" display="https://app.clickup.com/t/86b66ybkm"/>
    <hyperlink ref="M30" r:id="rId30" display="https://app.clickup.com/t/86b6726e8"/>
    <hyperlink ref="M31" r:id="rId31" display="https://app.clickup.com/t/86b672w1d"/>
    <hyperlink ref="M32" r:id="rId32" display="https://app.clickup.com/t/86b673ehf"/>
    <hyperlink ref="M33" r:id="rId33" display="https://app.clickup.com/t/86b67p41y"/>
    <hyperlink ref="M34" r:id="rId34" display="https://app.clickup.com/t/86b68aeg0"/>
    <hyperlink ref="M35" r:id="rId35" display="https://app.clickup.com/t/86b68hbqn"/>
    <hyperlink ref="M36" r:id="rId36" display="https://app.clickup.com/t/86b68k2gc"/>
    <hyperlink ref="M37" r:id="rId37" display="https://app.clickup.com/t/86b694dhv"/>
    <hyperlink ref="M38" r:id="rId38" display="https://app.clickup.com/t/86b6aunct"/>
    <hyperlink ref="M39" r:id="rId39" display="https://app.clickup.com/t/86b6aw06j"/>
    <hyperlink ref="M40" r:id="rId40" display="https://app.clickup.com/t/86b6athxm"/>
    <hyperlink ref="M41" r:id="rId41" display="https://app.clickup.com/t/86b6b04mu"/>
    <hyperlink ref="M42" r:id="rId42" display="https://app.clickup.com/t/86b6b0p11"/>
    <hyperlink ref="M43" r:id="rId43" display="https://app.clickup.com/t/86b6bhqpb"/>
    <hyperlink ref="M44" r:id="rId44" display="https://app.clickup.com/t/86b6bpew6"/>
    <hyperlink ref="M45" r:id="rId45" display="https://app.clickup.com/t/86b6bybj4"/>
    <hyperlink ref="M46" r:id="rId46" display="https://app.clickup.com/t/86b6cfgc5"/>
    <hyperlink ref="M47" r:id="rId47" display="https://app.clickup.com/t/86b6cfcpp"/>
    <hyperlink ref="M48" r:id="rId48" display="https://app.clickup.com/t/86b6ckukn"/>
    <hyperlink ref="M49" r:id="rId49" display="https://app.clickup.com/t/86b6dam9f"/>
    <hyperlink ref="M50" r:id="rId50" display="https://app.clickup.com/t/86b6dgmc7"/>
    <hyperlink ref="M51" r:id="rId51" display="https://app.clickup.com/t/86b6dkrrz"/>
    <hyperlink ref="M52" r:id="rId52" display="https://app.clickup.com/t/86b6dqh2c"/>
    <hyperlink ref="M53" r:id="rId53" display="https://app.clickup.com/t/86b6dyzmv"/>
    <hyperlink ref="M54" r:id="rId54" display="https://app.clickup.com/t/86b6dz1b2"/>
    <hyperlink ref="M55" r:id="rId55" display="https://app.clickup.com/t/86b6e7vpa"/>
    <hyperlink ref="M56" r:id="rId56" display="https://app.clickup.com/t/86b6eg6fv"/>
    <hyperlink ref="M57" r:id="rId57" display="https://app.clickup.com/t/86b6efvau"/>
    <hyperlink ref="M58" r:id="rId58" display="https://app.clickup.com/t/86b6efb94"/>
    <hyperlink ref="M59" r:id="rId59" display="https://app.clickup.com/t/86b6epb8d"/>
    <hyperlink ref="M60" r:id="rId60" display="https://app.clickup.com/t/86b6ej8j2"/>
    <hyperlink ref="M61" r:id="rId61" display="https://app.clickup.com/t/86b6f1zxw"/>
    <hyperlink ref="M62" r:id="rId62" display="https://app.clickup.com/t/86b6f977a"/>
    <hyperlink ref="M63" r:id="rId63" display="https://app.clickup.com/t/86b6f98ca"/>
    <hyperlink ref="M64" r:id="rId64" display="https://app.clickup.com/t/86b6fm8tf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65"/>
  <tableParts>
    <tablePart r:id="rId6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true"/>
  </sheetPr>
  <dimension ref="A1:AF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B29" activeCellId="0" sqref="B2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3.75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</cols>
  <sheetData>
    <row r="1" customFormat="false" ht="22.5" hidden="false" customHeight="true" outlineLevel="0" collapsed="false">
      <c r="A1" s="50" t="s">
        <v>842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customFormat="false" ht="22.5" hidden="false" customHeight="true" outlineLevel="0" collapsed="false">
      <c r="A2" s="77" t="n">
        <v>45901</v>
      </c>
      <c r="B2" s="1" t="n">
        <v>18</v>
      </c>
      <c r="C2" s="56" t="str">
        <f aca="false">IF(ISBLANK(A2), "--", PROPER(TEXT(A2, "dddd")))</f>
        <v>Monday</v>
      </c>
      <c r="D2" s="56" t="s">
        <v>156</v>
      </c>
      <c r="E2" s="56" t="s">
        <v>17</v>
      </c>
      <c r="F2" s="60" t="s">
        <v>1187</v>
      </c>
      <c r="G2" s="56" t="s">
        <v>77</v>
      </c>
      <c r="H2" s="56" t="s">
        <v>20</v>
      </c>
      <c r="I2" s="56" t="s">
        <v>21</v>
      </c>
      <c r="J2" s="57" t="n">
        <v>45908</v>
      </c>
      <c r="K2" s="58" t="n">
        <v>3</v>
      </c>
      <c r="L2" s="59" t="n">
        <v>0.4375</v>
      </c>
      <c r="M2" s="61" t="s">
        <v>1188</v>
      </c>
    </row>
    <row r="3" customFormat="false" ht="22.5" hidden="false" customHeight="true" outlineLevel="0" collapsed="false">
      <c r="A3" s="63" t="n">
        <v>45902</v>
      </c>
      <c r="B3" s="1" t="n">
        <v>18</v>
      </c>
      <c r="C3" s="56" t="str">
        <f aca="false">IF(ISBLANK(A3), "--", PROPER(TEXT(A3, "dddd")))</f>
        <v>Tuesday</v>
      </c>
      <c r="D3" s="56" t="s">
        <v>134</v>
      </c>
      <c r="E3" s="56" t="s">
        <v>17</v>
      </c>
      <c r="F3" s="60" t="s">
        <v>1189</v>
      </c>
      <c r="G3" s="56" t="s">
        <v>77</v>
      </c>
      <c r="H3" s="56" t="s">
        <v>449</v>
      </c>
      <c r="I3" s="56" t="s">
        <v>21</v>
      </c>
      <c r="J3" s="57" t="n">
        <v>45902</v>
      </c>
      <c r="K3" s="58" t="n">
        <v>1</v>
      </c>
      <c r="L3" s="59" t="n">
        <v>0.104166666666667</v>
      </c>
      <c r="M3" s="31" t="s">
        <v>1190</v>
      </c>
    </row>
    <row r="4" customFormat="false" ht="22.5" hidden="false" customHeight="true" outlineLevel="0" collapsed="false">
      <c r="A4" s="63" t="n">
        <v>45902</v>
      </c>
      <c r="B4" s="1" t="n">
        <v>18</v>
      </c>
      <c r="C4" s="56" t="str">
        <f aca="false">IF(ISBLANK(A4), "--", PROPER(TEXT(A4, "dddd")))</f>
        <v>Tuesday</v>
      </c>
      <c r="D4" s="56" t="s">
        <v>145</v>
      </c>
      <c r="E4" s="56" t="s">
        <v>139</v>
      </c>
      <c r="F4" s="60" t="s">
        <v>1191</v>
      </c>
      <c r="G4" s="56" t="s">
        <v>19</v>
      </c>
      <c r="H4" s="56" t="s">
        <v>141</v>
      </c>
      <c r="I4" s="56" t="s">
        <v>21</v>
      </c>
      <c r="J4" s="57" t="n">
        <v>45902</v>
      </c>
      <c r="K4" s="58" t="n">
        <v>0.5</v>
      </c>
      <c r="L4" s="59" t="n">
        <v>0.00347222222222222</v>
      </c>
      <c r="M4" s="31" t="s">
        <v>1192</v>
      </c>
    </row>
    <row r="5" customFormat="false" ht="22.5" hidden="false" customHeight="true" outlineLevel="0" collapsed="false">
      <c r="A5" s="63" t="n">
        <v>45903</v>
      </c>
      <c r="B5" s="1" t="n">
        <v>18</v>
      </c>
      <c r="C5" s="56" t="str">
        <f aca="false">IF(ISBLANK(A5), "--", PROPER(TEXT(A5, "dddd")))</f>
        <v>Wednesday</v>
      </c>
      <c r="D5" s="56" t="s">
        <v>145</v>
      </c>
      <c r="E5" s="56" t="s">
        <v>139</v>
      </c>
      <c r="F5" s="60" t="s">
        <v>1193</v>
      </c>
      <c r="G5" s="56" t="s">
        <v>19</v>
      </c>
      <c r="H5" s="56" t="s">
        <v>141</v>
      </c>
      <c r="I5" s="56" t="s">
        <v>21</v>
      </c>
      <c r="J5" s="57" t="n">
        <v>45903</v>
      </c>
      <c r="K5" s="58" t="n">
        <v>0.5</v>
      </c>
      <c r="L5" s="59" t="n">
        <v>0.00555555555555556</v>
      </c>
      <c r="M5" s="31" t="s">
        <v>1194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customFormat="false" ht="22.5" hidden="false" customHeight="true" outlineLevel="0" collapsed="false">
      <c r="A6" s="63" t="n">
        <v>45904</v>
      </c>
      <c r="B6" s="1" t="n">
        <v>18</v>
      </c>
      <c r="C6" s="56" t="str">
        <f aca="false">IF(ISBLANK(A6), "--", PROPER(TEXT(A6, "dddd")))</f>
        <v>Thursday</v>
      </c>
      <c r="D6" s="56" t="s">
        <v>145</v>
      </c>
      <c r="E6" s="56" t="s">
        <v>139</v>
      </c>
      <c r="F6" s="60" t="s">
        <v>1195</v>
      </c>
      <c r="G6" s="56" t="s">
        <v>77</v>
      </c>
      <c r="H6" s="56" t="s">
        <v>141</v>
      </c>
      <c r="I6" s="56" t="s">
        <v>21</v>
      </c>
      <c r="J6" s="63" t="n">
        <v>45904</v>
      </c>
      <c r="K6" s="58" t="n">
        <v>0.5</v>
      </c>
      <c r="L6" s="59" t="n">
        <v>0.0180555555555556</v>
      </c>
      <c r="M6" s="31" t="s">
        <v>1196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customFormat="false" ht="22.5" hidden="false" customHeight="true" outlineLevel="0" collapsed="false">
      <c r="A7" s="63" t="n">
        <v>45904</v>
      </c>
      <c r="B7" s="1" t="n">
        <v>18</v>
      </c>
      <c r="C7" s="56" t="str">
        <f aca="false">IF(ISBLANK(A7), "--", PROPER(TEXT(A7, "dddd")))</f>
        <v>Thursday</v>
      </c>
      <c r="D7" s="56" t="s">
        <v>145</v>
      </c>
      <c r="E7" s="56" t="s">
        <v>139</v>
      </c>
      <c r="F7" s="60" t="s">
        <v>1197</v>
      </c>
      <c r="G7" s="56" t="s">
        <v>19</v>
      </c>
      <c r="H7" s="56" t="s">
        <v>449</v>
      </c>
      <c r="I7" s="56" t="s">
        <v>21</v>
      </c>
      <c r="J7" s="63" t="n">
        <v>45904</v>
      </c>
      <c r="K7" s="58" t="n">
        <v>0.5</v>
      </c>
      <c r="L7" s="59" t="n">
        <v>0.0152777777777778</v>
      </c>
      <c r="M7" s="31" t="s">
        <v>1198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customFormat="false" ht="22.5" hidden="false" customHeight="true" outlineLevel="0" collapsed="false">
      <c r="A8" s="63" t="n">
        <v>45905</v>
      </c>
      <c r="B8" s="1" t="n">
        <v>18</v>
      </c>
      <c r="C8" s="56" t="str">
        <f aca="false">IF(ISBLANK(A8), "--", PROPER(TEXT(A8, "dddd")))</f>
        <v>Friday</v>
      </c>
      <c r="D8" s="56" t="s">
        <v>145</v>
      </c>
      <c r="E8" s="56" t="s">
        <v>139</v>
      </c>
      <c r="F8" s="60" t="s">
        <v>1199</v>
      </c>
      <c r="G8" s="56" t="s">
        <v>77</v>
      </c>
      <c r="H8" s="56" t="s">
        <v>141</v>
      </c>
      <c r="I8" s="56" t="s">
        <v>21</v>
      </c>
      <c r="J8" s="63" t="n">
        <v>45905</v>
      </c>
      <c r="K8" s="58" t="n">
        <v>0.5</v>
      </c>
      <c r="L8" s="59" t="n">
        <v>0.0145833333333333</v>
      </c>
      <c r="M8" s="61" t="s">
        <v>1200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customFormat="false" ht="22.5" hidden="false" customHeight="true" outlineLevel="0" collapsed="false">
      <c r="A9" s="63" t="n">
        <v>45905</v>
      </c>
      <c r="B9" s="1" t="n">
        <v>18</v>
      </c>
      <c r="C9" s="56" t="str">
        <f aca="false">IF(ISBLANK(A9), "--", PROPER(TEXT(A9, "dddd")))</f>
        <v>Friday</v>
      </c>
      <c r="D9" s="56" t="s">
        <v>16</v>
      </c>
      <c r="E9" s="56" t="s">
        <v>17</v>
      </c>
      <c r="F9" s="60" t="s">
        <v>1201</v>
      </c>
      <c r="G9" s="56" t="s">
        <v>48</v>
      </c>
      <c r="H9" s="56" t="s">
        <v>449</v>
      </c>
      <c r="I9" s="56" t="s">
        <v>21</v>
      </c>
      <c r="J9" s="63" t="n">
        <v>45909</v>
      </c>
      <c r="K9" s="58" t="n">
        <v>2</v>
      </c>
      <c r="L9" s="59" t="n">
        <v>0.114583333333333</v>
      </c>
      <c r="M9" s="82" t="s">
        <v>1202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customFormat="false" ht="22.5" hidden="false" customHeight="true" outlineLevel="0" collapsed="false">
      <c r="A10" s="63" t="n">
        <v>45909</v>
      </c>
      <c r="B10" s="1" t="n">
        <v>18</v>
      </c>
      <c r="C10" s="56" t="str">
        <f aca="false">IF(ISBLANK(A10), "--", PROPER(TEXT(A10, "dddd")))</f>
        <v>Tuesday</v>
      </c>
      <c r="D10" s="56" t="s">
        <v>130</v>
      </c>
      <c r="E10" s="56" t="s">
        <v>17</v>
      </c>
      <c r="F10" s="60" t="s">
        <v>1203</v>
      </c>
      <c r="G10" s="56" t="s">
        <v>19</v>
      </c>
      <c r="H10" s="56" t="s">
        <v>70</v>
      </c>
      <c r="I10" s="56" t="s">
        <v>21</v>
      </c>
      <c r="J10" s="57" t="n">
        <v>45910</v>
      </c>
      <c r="K10" s="58" t="n">
        <v>2</v>
      </c>
      <c r="L10" s="59" t="n">
        <v>0.05</v>
      </c>
      <c r="M10" s="31" t="s">
        <v>1204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customFormat="false" ht="22.5" hidden="false" customHeight="true" outlineLevel="0" collapsed="false">
      <c r="A11" s="63" t="n">
        <v>45910</v>
      </c>
      <c r="B11" s="1" t="n">
        <v>18</v>
      </c>
      <c r="C11" s="56" t="str">
        <f aca="false">IF(ISBLANK(A11), "--", PROPER(TEXT(A11, "dddd")))</f>
        <v>Wednesday</v>
      </c>
      <c r="D11" s="56" t="s">
        <v>16</v>
      </c>
      <c r="E11" s="56" t="s">
        <v>17</v>
      </c>
      <c r="F11" s="60" t="s">
        <v>1205</v>
      </c>
      <c r="G11" s="56" t="s">
        <v>48</v>
      </c>
      <c r="H11" s="56" t="s">
        <v>449</v>
      </c>
      <c r="I11" s="56" t="s">
        <v>21</v>
      </c>
      <c r="J11" s="57" t="n">
        <v>45912</v>
      </c>
      <c r="K11" s="58" t="n">
        <v>1</v>
      </c>
      <c r="L11" s="59" t="n">
        <v>0.117361111111111</v>
      </c>
      <c r="M11" s="31" t="s">
        <v>1206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customFormat="false" ht="22.5" hidden="false" customHeight="true" outlineLevel="0" collapsed="false">
      <c r="A12" s="63" t="n">
        <v>45911</v>
      </c>
      <c r="B12" s="1" t="n">
        <v>18</v>
      </c>
      <c r="C12" s="56" t="str">
        <f aca="false">IF(ISBLANK(A12), "--", PROPER(TEXT(A12, "dddd")))</f>
        <v>Thursday</v>
      </c>
      <c r="D12" s="56" t="s">
        <v>145</v>
      </c>
      <c r="E12" s="56" t="s">
        <v>139</v>
      </c>
      <c r="F12" s="60" t="s">
        <v>1207</v>
      </c>
      <c r="G12" s="56" t="s">
        <v>19</v>
      </c>
      <c r="H12" s="56" t="s">
        <v>141</v>
      </c>
      <c r="I12" s="56" t="s">
        <v>21</v>
      </c>
      <c r="J12" s="57" t="n">
        <v>45911</v>
      </c>
      <c r="K12" s="58" t="n">
        <v>1</v>
      </c>
      <c r="L12" s="59" t="n">
        <v>0.0111111111111111</v>
      </c>
      <c r="M12" s="31" t="s">
        <v>1208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customFormat="false" ht="22.5" hidden="false" customHeight="true" outlineLevel="0" collapsed="false">
      <c r="A13" s="63" t="n">
        <v>45912</v>
      </c>
      <c r="B13" s="1" t="n">
        <v>18</v>
      </c>
      <c r="C13" s="56" t="str">
        <f aca="false">IF(ISBLANK(A13), "--", PROPER(TEXT(A13, "dddd")))</f>
        <v>Friday</v>
      </c>
      <c r="D13" s="56" t="s">
        <v>16</v>
      </c>
      <c r="E13" s="56" t="s">
        <v>17</v>
      </c>
      <c r="F13" s="60" t="s">
        <v>1209</v>
      </c>
      <c r="G13" s="56" t="s">
        <v>77</v>
      </c>
      <c r="H13" s="56" t="s">
        <v>449</v>
      </c>
      <c r="I13" s="56" t="s">
        <v>21</v>
      </c>
      <c r="J13" s="57" t="n">
        <v>45915</v>
      </c>
      <c r="K13" s="58" t="n">
        <v>2</v>
      </c>
      <c r="L13" s="59" t="n">
        <v>0.0826388888888889</v>
      </c>
      <c r="M13" s="31" t="s">
        <v>1210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customFormat="false" ht="22.5" hidden="false" customHeight="true" outlineLevel="0" collapsed="false">
      <c r="A14" s="63" t="n">
        <v>45912</v>
      </c>
      <c r="B14" s="1" t="n">
        <v>18</v>
      </c>
      <c r="C14" s="56" t="str">
        <f aca="false">IF(ISBLANK(A14), "--", PROPER(TEXT(A14, "dddd")))</f>
        <v>Friday</v>
      </c>
      <c r="D14" s="56" t="s">
        <v>145</v>
      </c>
      <c r="E14" s="56" t="s">
        <v>139</v>
      </c>
      <c r="F14" s="60" t="s">
        <v>1211</v>
      </c>
      <c r="G14" s="56" t="s">
        <v>48</v>
      </c>
      <c r="H14" s="56" t="s">
        <v>141</v>
      </c>
      <c r="I14" s="56" t="s">
        <v>21</v>
      </c>
      <c r="J14" s="57" t="n">
        <v>45916</v>
      </c>
      <c r="K14" s="58" t="n">
        <v>1</v>
      </c>
      <c r="L14" s="59" t="n">
        <v>0.0916666666666667</v>
      </c>
      <c r="M14" s="31" t="s">
        <v>1212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customFormat="false" ht="22.5" hidden="false" customHeight="true" outlineLevel="0" collapsed="false">
      <c r="A15" s="63" t="n">
        <v>45912</v>
      </c>
      <c r="B15" s="1" t="n">
        <v>18</v>
      </c>
      <c r="C15" s="56" t="str">
        <f aca="false">IF(ISBLANK(A15), "--", PROPER(TEXT(A15, "dddd")))</f>
        <v>Friday</v>
      </c>
      <c r="D15" s="56" t="s">
        <v>156</v>
      </c>
      <c r="E15" s="56" t="s">
        <v>17</v>
      </c>
      <c r="F15" s="60" t="s">
        <v>1213</v>
      </c>
      <c r="G15" s="56" t="s">
        <v>77</v>
      </c>
      <c r="H15" s="56" t="s">
        <v>449</v>
      </c>
      <c r="I15" s="56" t="s">
        <v>21</v>
      </c>
      <c r="J15" s="57" t="n">
        <v>45917</v>
      </c>
      <c r="K15" s="58" t="n">
        <v>2</v>
      </c>
      <c r="L15" s="59" t="n">
        <v>0.191666666666667</v>
      </c>
      <c r="M15" s="61" t="s">
        <v>1214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customFormat="false" ht="22.5" hidden="false" customHeight="true" outlineLevel="0" collapsed="false">
      <c r="A16" s="63" t="n">
        <v>45912</v>
      </c>
      <c r="B16" s="1" t="n">
        <v>18</v>
      </c>
      <c r="C16" s="56" t="str">
        <f aca="false">IF(ISBLANK(A16), "--", PROPER(TEXT(A16, "dddd")))</f>
        <v>Friday</v>
      </c>
      <c r="D16" s="56" t="s">
        <v>145</v>
      </c>
      <c r="E16" s="56" t="s">
        <v>139</v>
      </c>
      <c r="F16" s="60" t="s">
        <v>1215</v>
      </c>
      <c r="G16" s="56" t="s">
        <v>48</v>
      </c>
      <c r="H16" s="56" t="s">
        <v>141</v>
      </c>
      <c r="I16" s="56" t="s">
        <v>21</v>
      </c>
      <c r="J16" s="57" t="n">
        <v>45912</v>
      </c>
      <c r="K16" s="58" t="n">
        <v>0.5</v>
      </c>
      <c r="L16" s="59" t="n">
        <v>0.00694444444444444</v>
      </c>
      <c r="M16" s="61" t="s">
        <v>1216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customFormat="false" ht="22.5" hidden="false" customHeight="true" outlineLevel="0" collapsed="false">
      <c r="A17" s="77" t="n">
        <v>45915</v>
      </c>
      <c r="B17" s="1" t="n">
        <v>19</v>
      </c>
      <c r="C17" s="56" t="str">
        <f aca="false">IF(ISBLANK(A17), "--", PROPER(TEXT(A17, "dddd")))</f>
        <v>Monday</v>
      </c>
      <c r="D17" s="56" t="s">
        <v>46</v>
      </c>
      <c r="E17" s="56" t="s">
        <v>17</v>
      </c>
      <c r="F17" s="60" t="s">
        <v>1217</v>
      </c>
      <c r="G17" s="56" t="s">
        <v>19</v>
      </c>
      <c r="H17" s="56" t="s">
        <v>449</v>
      </c>
      <c r="I17" s="56" t="s">
        <v>21</v>
      </c>
      <c r="J17" s="63" t="n">
        <v>45916</v>
      </c>
      <c r="K17" s="58" t="n">
        <v>1</v>
      </c>
      <c r="L17" s="59" t="n">
        <v>0.0881944444444445</v>
      </c>
      <c r="M17" s="61" t="s">
        <v>1218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customFormat="false" ht="22.5" hidden="false" customHeight="true" outlineLevel="0" collapsed="false">
      <c r="A18" s="63" t="n">
        <v>45915</v>
      </c>
      <c r="B18" s="1" t="n">
        <v>19</v>
      </c>
      <c r="C18" s="56" t="str">
        <f aca="false">IF(ISBLANK(A18), "--", PROPER(TEXT(A18, "dddd")))</f>
        <v>Monday</v>
      </c>
      <c r="D18" s="56" t="s">
        <v>134</v>
      </c>
      <c r="E18" s="56" t="s">
        <v>17</v>
      </c>
      <c r="F18" s="60" t="s">
        <v>1219</v>
      </c>
      <c r="G18" s="56" t="s">
        <v>77</v>
      </c>
      <c r="H18" s="56" t="s">
        <v>449</v>
      </c>
      <c r="I18" s="56" t="s">
        <v>21</v>
      </c>
      <c r="J18" s="63" t="n">
        <v>45916</v>
      </c>
      <c r="K18" s="58" t="n">
        <v>1</v>
      </c>
      <c r="L18" s="59" t="n">
        <v>0.0416666666666667</v>
      </c>
      <c r="M18" s="31" t="s">
        <v>1220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customFormat="false" ht="22.5" hidden="false" customHeight="true" outlineLevel="0" collapsed="false">
      <c r="A19" s="63" t="n">
        <v>45916</v>
      </c>
      <c r="B19" s="1" t="n">
        <v>19</v>
      </c>
      <c r="C19" s="56" t="str">
        <f aca="false">IF(ISBLANK(A19), "--", PROPER(TEXT(A19, "dddd")))</f>
        <v>Tuesday</v>
      </c>
      <c r="D19" s="56" t="s">
        <v>85</v>
      </c>
      <c r="E19" s="56" t="s">
        <v>17</v>
      </c>
      <c r="F19" s="60" t="s">
        <v>1221</v>
      </c>
      <c r="G19" s="56" t="s">
        <v>48</v>
      </c>
      <c r="H19" s="56" t="s">
        <v>1024</v>
      </c>
      <c r="I19" s="56" t="s">
        <v>21</v>
      </c>
      <c r="J19" s="63" t="n">
        <v>45918</v>
      </c>
      <c r="K19" s="58" t="n">
        <v>2</v>
      </c>
      <c r="L19" s="59" t="n">
        <v>0.0951388888888889</v>
      </c>
      <c r="M19" s="31" t="s">
        <v>1222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customFormat="false" ht="22.5" hidden="false" customHeight="true" outlineLevel="0" collapsed="false">
      <c r="A20" s="63" t="n">
        <v>45918</v>
      </c>
      <c r="B20" s="1" t="n">
        <v>19</v>
      </c>
      <c r="C20" s="56" t="str">
        <f aca="false">IF(ISBLANK(A20), "--", PROPER(TEXT(A20, "dddd")))</f>
        <v>Thursday</v>
      </c>
      <c r="D20" s="56" t="s">
        <v>85</v>
      </c>
      <c r="E20" s="56" t="s">
        <v>17</v>
      </c>
      <c r="F20" s="60" t="s">
        <v>1223</v>
      </c>
      <c r="G20" s="56" t="s">
        <v>19</v>
      </c>
      <c r="H20" s="56" t="s">
        <v>70</v>
      </c>
      <c r="I20" s="56" t="s">
        <v>21</v>
      </c>
      <c r="J20" s="63" t="n">
        <v>45919</v>
      </c>
      <c r="K20" s="58" t="n">
        <v>2</v>
      </c>
      <c r="L20" s="59" t="n">
        <v>0.197916666666667</v>
      </c>
      <c r="M20" s="31" t="s">
        <v>1224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customFormat="false" ht="22.5" hidden="false" customHeight="true" outlineLevel="0" collapsed="false">
      <c r="A21" s="63" t="n">
        <v>45918</v>
      </c>
      <c r="B21" s="1" t="n">
        <v>19</v>
      </c>
      <c r="C21" s="56" t="str">
        <f aca="false">IF(ISBLANK(A21), "--", PROPER(TEXT(A21, "dddd")))</f>
        <v>Thursday</v>
      </c>
      <c r="D21" s="56" t="s">
        <v>134</v>
      </c>
      <c r="E21" s="56" t="s">
        <v>17</v>
      </c>
      <c r="F21" s="60" t="s">
        <v>1225</v>
      </c>
      <c r="G21" s="56" t="s">
        <v>48</v>
      </c>
      <c r="H21" s="56" t="s">
        <v>449</v>
      </c>
      <c r="I21" s="56" t="s">
        <v>21</v>
      </c>
      <c r="J21" s="63" t="n">
        <v>45940</v>
      </c>
      <c r="K21" s="58" t="n">
        <v>2</v>
      </c>
      <c r="L21" s="59" t="n">
        <v>0.329861111111111</v>
      </c>
      <c r="M21" s="31" t="s">
        <v>1226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customFormat="false" ht="22.5" hidden="false" customHeight="true" outlineLevel="0" collapsed="false">
      <c r="A22" s="63" t="n">
        <v>45919</v>
      </c>
      <c r="B22" s="1" t="n">
        <v>19</v>
      </c>
      <c r="C22" s="56" t="str">
        <f aca="false">IF(ISBLANK(A22), "--", PROPER(TEXT(A22, "dddd")))</f>
        <v>Friday</v>
      </c>
      <c r="D22" s="56" t="s">
        <v>1176</v>
      </c>
      <c r="E22" s="56" t="s">
        <v>17</v>
      </c>
      <c r="F22" s="60" t="s">
        <v>1227</v>
      </c>
      <c r="G22" s="56" t="s">
        <v>77</v>
      </c>
      <c r="H22" s="56" t="s">
        <v>449</v>
      </c>
      <c r="I22" s="56" t="s">
        <v>21</v>
      </c>
      <c r="J22" s="63" t="n">
        <v>45919</v>
      </c>
      <c r="K22" s="58" t="n">
        <v>2</v>
      </c>
      <c r="L22" s="59" t="n">
        <v>0.0368055555555556</v>
      </c>
      <c r="M22" s="61" t="s">
        <v>1228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customFormat="false" ht="22.5" hidden="false" customHeight="true" outlineLevel="0" collapsed="false">
      <c r="A23" s="63" t="n">
        <v>45919</v>
      </c>
      <c r="B23" s="1" t="n">
        <v>19</v>
      </c>
      <c r="C23" s="56" t="str">
        <f aca="false">IF(ISBLANK(A23), "--", PROPER(TEXT(A23, "dddd")))</f>
        <v>Friday</v>
      </c>
      <c r="D23" s="56" t="s">
        <v>85</v>
      </c>
      <c r="E23" s="56" t="s">
        <v>17</v>
      </c>
      <c r="F23" s="60" t="s">
        <v>1229</v>
      </c>
      <c r="G23" s="56" t="s">
        <v>19</v>
      </c>
      <c r="H23" s="56" t="s">
        <v>70</v>
      </c>
      <c r="I23" s="56" t="s">
        <v>21</v>
      </c>
      <c r="J23" s="63" t="n">
        <v>45919</v>
      </c>
      <c r="K23" s="58" t="n">
        <v>1</v>
      </c>
      <c r="L23" s="59" t="n">
        <v>0.0819444444444444</v>
      </c>
      <c r="M23" s="83" t="s">
        <v>1230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customFormat="false" ht="22.5" hidden="false" customHeight="true" outlineLevel="0" collapsed="false">
      <c r="A24" s="63" t="n">
        <v>45919</v>
      </c>
      <c r="B24" s="1" t="n">
        <v>19</v>
      </c>
      <c r="C24" s="56" t="str">
        <f aca="false">IF(ISBLANK(A24), "--", PROPER(TEXT(A24, "dddd")))</f>
        <v>Friday</v>
      </c>
      <c r="D24" s="56" t="s">
        <v>85</v>
      </c>
      <c r="E24" s="56" t="s">
        <v>17</v>
      </c>
      <c r="F24" s="60" t="s">
        <v>1231</v>
      </c>
      <c r="G24" s="56" t="s">
        <v>48</v>
      </c>
      <c r="H24" s="56" t="s">
        <v>1024</v>
      </c>
      <c r="I24" s="56" t="s">
        <v>21</v>
      </c>
      <c r="J24" s="63" t="n">
        <v>45924</v>
      </c>
      <c r="K24" s="58" t="n">
        <v>3</v>
      </c>
      <c r="L24" s="59" t="n">
        <v>0.243055555555556</v>
      </c>
      <c r="M24" s="83" t="s">
        <v>1232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customFormat="false" ht="22.5" hidden="false" customHeight="true" outlineLevel="0" collapsed="false">
      <c r="A25" s="63" t="n">
        <v>45922</v>
      </c>
      <c r="B25" s="1" t="n">
        <v>19</v>
      </c>
      <c r="C25" s="56" t="str">
        <f aca="false">IF(ISBLANK(A25), "--", PROPER(TEXT(A25, "dddd")))</f>
        <v>Monday</v>
      </c>
      <c r="D25" s="56" t="s">
        <v>130</v>
      </c>
      <c r="E25" s="56" t="s">
        <v>17</v>
      </c>
      <c r="F25" s="60" t="s">
        <v>1233</v>
      </c>
      <c r="G25" s="56" t="s">
        <v>77</v>
      </c>
      <c r="H25" s="56" t="s">
        <v>449</v>
      </c>
      <c r="I25" s="56" t="s">
        <v>21</v>
      </c>
      <c r="J25" s="63" t="n">
        <v>45922</v>
      </c>
      <c r="K25" s="58" t="n">
        <v>2</v>
      </c>
      <c r="L25" s="59" t="n">
        <v>0.188888888888889</v>
      </c>
      <c r="M25" s="83" t="s">
        <v>1234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customFormat="false" ht="22.5" hidden="false" customHeight="true" outlineLevel="0" collapsed="false">
      <c r="A26" s="63" t="n">
        <v>45922</v>
      </c>
      <c r="B26" s="1" t="n">
        <v>19</v>
      </c>
      <c r="C26" s="56" t="str">
        <f aca="false">IF(ISBLANK(A26), "--", PROPER(TEXT(A26, "dddd")))</f>
        <v>Monday</v>
      </c>
      <c r="D26" s="56" t="s">
        <v>156</v>
      </c>
      <c r="E26" s="56" t="s">
        <v>17</v>
      </c>
      <c r="F26" s="60" t="s">
        <v>1235</v>
      </c>
      <c r="G26" s="56" t="s">
        <v>19</v>
      </c>
      <c r="H26" s="56" t="s">
        <v>1068</v>
      </c>
      <c r="I26" s="56" t="s">
        <v>21</v>
      </c>
      <c r="J26" s="63" t="n">
        <v>45930</v>
      </c>
      <c r="K26" s="58"/>
      <c r="L26" s="59" t="n">
        <v>0.114583333333333</v>
      </c>
      <c r="M26" s="64" t="s">
        <v>1236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customFormat="false" ht="22.5" hidden="false" customHeight="true" outlineLevel="0" collapsed="false">
      <c r="A27" s="63" t="n">
        <v>45924</v>
      </c>
      <c r="B27" s="1" t="n">
        <v>19</v>
      </c>
      <c r="C27" s="56" t="str">
        <f aca="false">IF(ISBLANK(A27), "--", PROPER(TEXT(A27, "dddd")))</f>
        <v>Wednesday</v>
      </c>
      <c r="D27" s="56" t="s">
        <v>156</v>
      </c>
      <c r="E27" s="56" t="s">
        <v>17</v>
      </c>
      <c r="F27" s="60" t="s">
        <v>1237</v>
      </c>
      <c r="G27" s="56" t="s">
        <v>48</v>
      </c>
      <c r="H27" s="56" t="s">
        <v>449</v>
      </c>
      <c r="I27" s="56" t="s">
        <v>21</v>
      </c>
      <c r="J27" s="57" t="n">
        <v>45929</v>
      </c>
      <c r="K27" s="58" t="n">
        <v>3</v>
      </c>
      <c r="L27" s="59" t="n">
        <v>0.493055555555556</v>
      </c>
      <c r="M27" s="31" t="s">
        <v>1238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customFormat="false" ht="22.5" hidden="false" customHeight="true" outlineLevel="0" collapsed="false">
      <c r="A28" s="63" t="n">
        <v>45925</v>
      </c>
      <c r="B28" s="1" t="n">
        <v>19</v>
      </c>
      <c r="C28" s="56" t="str">
        <f aca="false">IF(ISBLANK(A28), "--", PROPER(TEXT(A28, "dddd")))</f>
        <v>Thursday</v>
      </c>
      <c r="D28" s="56" t="s">
        <v>156</v>
      </c>
      <c r="E28" s="56" t="s">
        <v>17</v>
      </c>
      <c r="F28" s="60" t="s">
        <v>1239</v>
      </c>
      <c r="G28" s="56" t="s">
        <v>48</v>
      </c>
      <c r="H28" s="56" t="s">
        <v>1068</v>
      </c>
      <c r="I28" s="56" t="s">
        <v>21</v>
      </c>
      <c r="J28" s="57" t="n">
        <v>45926</v>
      </c>
      <c r="K28" s="58" t="n">
        <v>1</v>
      </c>
      <c r="L28" s="59" t="n">
        <v>0.0131944444444444</v>
      </c>
      <c r="M28" s="31" t="s">
        <v>1240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customFormat="false" ht="22.5" hidden="false" customHeight="true" outlineLevel="0" collapsed="false">
      <c r="A29" s="63" t="n">
        <v>45925</v>
      </c>
      <c r="B29" s="1" t="n">
        <v>19</v>
      </c>
      <c r="C29" s="56" t="str">
        <f aca="false">IF(ISBLANK(A29), "--", PROPER(TEXT(A29, "dddd")))</f>
        <v>Thursday</v>
      </c>
      <c r="D29" s="56" t="s">
        <v>1176</v>
      </c>
      <c r="E29" s="56" t="s">
        <v>17</v>
      </c>
      <c r="F29" s="60" t="s">
        <v>1241</v>
      </c>
      <c r="G29" s="56" t="s">
        <v>496</v>
      </c>
      <c r="H29" s="56" t="s">
        <v>496</v>
      </c>
      <c r="I29" s="56" t="s">
        <v>496</v>
      </c>
      <c r="J29" s="57"/>
      <c r="K29" s="58"/>
      <c r="L29" s="59"/>
      <c r="M29" s="31" t="s">
        <v>1242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customFormat="false" ht="22.5" hidden="false" customHeight="true" outlineLevel="0" collapsed="false">
      <c r="A30" s="63" t="n">
        <v>45926</v>
      </c>
      <c r="B30" s="1" t="n">
        <v>19</v>
      </c>
      <c r="C30" s="56" t="str">
        <f aca="false">IF(ISBLANK(A30), "--", PROPER(TEXT(A30, "dddd")))</f>
        <v>Friday</v>
      </c>
      <c r="D30" s="56" t="s">
        <v>85</v>
      </c>
      <c r="E30" s="56" t="s">
        <v>17</v>
      </c>
      <c r="F30" s="60" t="s">
        <v>1243</v>
      </c>
      <c r="G30" s="56" t="s">
        <v>48</v>
      </c>
      <c r="H30" s="56" t="s">
        <v>70</v>
      </c>
      <c r="I30" s="56" t="s">
        <v>21</v>
      </c>
      <c r="J30" s="57" t="n">
        <v>45932</v>
      </c>
      <c r="K30" s="58" t="n">
        <v>2</v>
      </c>
      <c r="L30" s="59" t="n">
        <v>0.198611111111111</v>
      </c>
      <c r="M30" s="31" t="s">
        <v>1244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customFormat="false" ht="22.5" hidden="false" customHeight="true" outlineLevel="0" collapsed="false">
      <c r="A31" s="63" t="n">
        <v>45926</v>
      </c>
      <c r="B31" s="1" t="n">
        <v>19</v>
      </c>
      <c r="C31" s="56" t="str">
        <f aca="false">IF(ISBLANK(A31), "--", PROPER(TEXT(A31, "dddd")))</f>
        <v>Friday</v>
      </c>
      <c r="D31" s="56" t="s">
        <v>156</v>
      </c>
      <c r="E31" s="56" t="s">
        <v>17</v>
      </c>
      <c r="F31" s="60" t="s">
        <v>1245</v>
      </c>
      <c r="G31" s="56" t="s">
        <v>77</v>
      </c>
      <c r="H31" s="56" t="s">
        <v>449</v>
      </c>
      <c r="I31" s="56" t="s">
        <v>21</v>
      </c>
      <c r="J31" s="57" t="n">
        <v>45929</v>
      </c>
      <c r="K31" s="58" t="n">
        <v>1</v>
      </c>
      <c r="L31" s="59" t="n">
        <v>0.0694444444444445</v>
      </c>
      <c r="M31" s="31" t="s">
        <v>1246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customFormat="false" ht="22.5" hidden="false" customHeight="true" outlineLevel="0" collapsed="false">
      <c r="A32" s="77" t="n">
        <v>45926</v>
      </c>
      <c r="B32" s="1" t="n">
        <v>20</v>
      </c>
      <c r="C32" s="56" t="str">
        <f aca="false">IF(ISBLANK(A32), "--", PROPER(TEXT(A32, "dddd")))</f>
        <v>Friday</v>
      </c>
      <c r="D32" s="56" t="s">
        <v>46</v>
      </c>
      <c r="E32" s="56" t="s">
        <v>17</v>
      </c>
      <c r="F32" s="60" t="s">
        <v>1247</v>
      </c>
      <c r="G32" s="56" t="s">
        <v>48</v>
      </c>
      <c r="H32" s="56" t="s">
        <v>449</v>
      </c>
      <c r="I32" s="56" t="s">
        <v>21</v>
      </c>
      <c r="J32" s="57" t="n">
        <v>45927</v>
      </c>
      <c r="K32" s="58" t="n">
        <v>1</v>
      </c>
      <c r="L32" s="59" t="n">
        <v>0.0645833333333333</v>
      </c>
      <c r="M32" s="31" t="s">
        <v>1248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customFormat="false" ht="22.5" hidden="false" customHeight="true" outlineLevel="0" collapsed="false">
      <c r="A33" s="63" t="n">
        <v>45929</v>
      </c>
      <c r="B33" s="1" t="n">
        <v>20</v>
      </c>
      <c r="C33" s="56" t="str">
        <f aca="false">IF(ISBLANK(A33), "--", PROPER(TEXT(A33, "dddd")))</f>
        <v>Monday</v>
      </c>
      <c r="D33" s="56" t="s">
        <v>156</v>
      </c>
      <c r="E33" s="56" t="s">
        <v>17</v>
      </c>
      <c r="F33" s="60" t="s">
        <v>1249</v>
      </c>
      <c r="G33" s="56" t="s">
        <v>77</v>
      </c>
      <c r="H33" s="56" t="s">
        <v>449</v>
      </c>
      <c r="I33" s="56" t="s">
        <v>21</v>
      </c>
      <c r="J33" s="57" t="n">
        <v>45934</v>
      </c>
      <c r="K33" s="58" t="n">
        <v>1</v>
      </c>
      <c r="L33" s="59" t="n">
        <v>0.0381944444444445</v>
      </c>
      <c r="M33" s="31" t="s">
        <v>1250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customFormat="false" ht="22.5" hidden="false" customHeight="true" outlineLevel="0" collapsed="false">
      <c r="A34" s="63" t="n">
        <v>45930</v>
      </c>
      <c r="B34" s="1" t="n">
        <v>20</v>
      </c>
      <c r="C34" s="56" t="str">
        <f aca="false">IF(ISBLANK(A34), "--", PROPER(TEXT(A34, "dddd")))</f>
        <v>Tuesday</v>
      </c>
      <c r="D34" s="56" t="s">
        <v>156</v>
      </c>
      <c r="E34" s="56" t="s">
        <v>17</v>
      </c>
      <c r="F34" s="60" t="s">
        <v>1251</v>
      </c>
      <c r="G34" s="56" t="s">
        <v>19</v>
      </c>
      <c r="H34" s="56" t="s">
        <v>1068</v>
      </c>
      <c r="I34" s="56" t="s">
        <v>21</v>
      </c>
      <c r="J34" s="57" t="n">
        <v>45933</v>
      </c>
      <c r="K34" s="58" t="n">
        <v>1</v>
      </c>
      <c r="L34" s="59" t="n">
        <v>0.0902777777777778</v>
      </c>
      <c r="M34" s="61" t="s">
        <v>1252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customFormat="false" ht="22.5" hidden="false" customHeight="true" outlineLevel="0" collapsed="false">
      <c r="A35" s="63" t="n">
        <v>45930</v>
      </c>
      <c r="B35" s="1" t="n">
        <v>20</v>
      </c>
      <c r="C35" s="56" t="str">
        <f aca="false">IF(ISBLANK(A35), "--", PROPER(TEXT(A35, "dddd")))</f>
        <v>Tuesday</v>
      </c>
      <c r="D35" s="56" t="s">
        <v>145</v>
      </c>
      <c r="E35" s="56" t="s">
        <v>139</v>
      </c>
      <c r="F35" s="60" t="s">
        <v>1253</v>
      </c>
      <c r="G35" s="56" t="s">
        <v>19</v>
      </c>
      <c r="H35" s="56" t="s">
        <v>141</v>
      </c>
      <c r="I35" s="56" t="s">
        <v>21</v>
      </c>
      <c r="J35" s="57" t="n">
        <v>45932</v>
      </c>
      <c r="K35" s="58" t="n">
        <v>1</v>
      </c>
      <c r="L35" s="59" t="n">
        <v>0.0513888888888889</v>
      </c>
      <c r="M35" s="31" t="s">
        <v>1254</v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customFormat="false" ht="22.5" hidden="false" customHeight="true" outlineLevel="0" collapsed="false">
      <c r="A36" s="63" t="n">
        <v>45930</v>
      </c>
      <c r="B36" s="1" t="n">
        <v>20</v>
      </c>
      <c r="C36" s="56" t="str">
        <f aca="false">IF(ISBLANK(A36), "--", PROPER(TEXT(A36, "dddd")))</f>
        <v>Tuesday</v>
      </c>
      <c r="D36" s="56" t="s">
        <v>46</v>
      </c>
      <c r="E36" s="56" t="s">
        <v>17</v>
      </c>
      <c r="F36" s="60" t="s">
        <v>1255</v>
      </c>
      <c r="G36" s="56" t="s">
        <v>19</v>
      </c>
      <c r="H36" s="56" t="s">
        <v>449</v>
      </c>
      <c r="I36" s="56" t="s">
        <v>21</v>
      </c>
      <c r="J36" s="57" t="n">
        <v>45930</v>
      </c>
      <c r="K36" s="58" t="n">
        <v>2</v>
      </c>
      <c r="L36" s="59" t="n">
        <v>0.0694444444444445</v>
      </c>
      <c r="M36" s="31" t="s">
        <v>1256</v>
      </c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customFormat="false" ht="22.5" hidden="false" customHeight="true" outlineLevel="0" collapsed="false">
      <c r="A37" s="63" t="n">
        <v>45930</v>
      </c>
      <c r="B37" s="1" t="n">
        <v>20</v>
      </c>
      <c r="C37" s="56" t="str">
        <f aca="false">IF(ISBLANK(A37), "--", PROPER(TEXT(A37, "dddd")))</f>
        <v>Tuesday</v>
      </c>
      <c r="D37" s="56" t="s">
        <v>85</v>
      </c>
      <c r="E37" s="56" t="s">
        <v>17</v>
      </c>
      <c r="F37" s="60" t="s">
        <v>1257</v>
      </c>
      <c r="G37" s="56" t="s">
        <v>77</v>
      </c>
      <c r="H37" s="56" t="s">
        <v>70</v>
      </c>
      <c r="I37" s="56" t="s">
        <v>21</v>
      </c>
      <c r="J37" s="57" t="n">
        <v>45931</v>
      </c>
      <c r="K37" s="58" t="n">
        <v>1</v>
      </c>
      <c r="L37" s="59" t="n">
        <v>0.0673611111111111</v>
      </c>
      <c r="M37" s="31" t="s">
        <v>1258</v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customFormat="false" ht="15.75" hidden="false" customHeight="false" outlineLevel="0" collapsed="false">
      <c r="A38" s="44"/>
      <c r="C38" s="44"/>
      <c r="D38" s="44"/>
      <c r="E38" s="44"/>
      <c r="F38" s="44"/>
      <c r="G38" s="44"/>
      <c r="H38" s="44"/>
      <c r="I38" s="44"/>
      <c r="J38" s="44"/>
      <c r="K38" s="46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customFormat="false" ht="15.75" hidden="false" customHeight="false" outlineLevel="0" collapsed="false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customFormat="false" ht="15.75" hidden="false" customHeight="false" outlineLevel="0" collapsed="false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6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customFormat="false" ht="15.75" hidden="false" customHeight="false" outlineLevel="0" collapsed="false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6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customFormat="false" ht="15.75" hidden="false" customHeight="false" outlineLevel="0" collapsed="false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customFormat="false" ht="15.75" hidden="false" customHeight="false" outlineLevel="0" collapsed="false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6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customFormat="false" ht="15.75" hidden="false" customHeight="false" outlineLevel="0" collapsed="false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6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customFormat="false" ht="15.75" hidden="false" customHeight="false" outlineLevel="0" collapsed="false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customFormat="false" ht="15.75" hidden="false" customHeight="false" outlineLevel="0" collapsed="false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6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customFormat="false" ht="15.75" hidden="false" customHeight="false" outlineLevel="0" collapsed="false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6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customFormat="false" ht="15.75" hidden="false" customHeight="false" outlineLevel="0" collapsed="false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customFormat="false" ht="15.75" hidden="false" customHeight="fals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6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customFormat="false" ht="15.75" hidden="false" customHeight="false" outlineLevel="0" collapsed="false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6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customFormat="false" ht="15.75" hidden="false" customHeight="false" outlineLevel="0" collapsed="false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6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customFormat="false" ht="15.75" hidden="false" customHeight="false" outlineLevel="0" collapsed="false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6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customFormat="false" ht="15.75" hidden="false" customHeight="false" outlineLevel="0" collapsed="false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6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customFormat="false" ht="15.75" hidden="false" customHeight="false" outlineLevel="0" collapsed="false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customFormat="false" ht="15.75" hidden="false" customHeight="false" outlineLevel="0" collapsed="false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6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customFormat="false" ht="15.75" hidden="false" customHeight="false" outlineLevel="0" collapsed="false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6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customFormat="false" ht="15.7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customFormat="false" ht="15.75" hidden="false" customHeight="false" outlineLevel="0" collapsed="false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customFormat="false" ht="15.75" hidden="false" customHeight="false" outlineLevel="0" collapsed="false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customFormat="false" ht="15.75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customFormat="false" ht="15.75" hidden="false" customHeight="false" outlineLevel="0" collapsed="false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customFormat="false" ht="15.7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customFormat="false" ht="15.7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customFormat="false" ht="15.75" hidden="false" customHeight="false" outlineLevel="0" collapsed="false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customFormat="false" ht="15.7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 customFormat="false" ht="15.7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</row>
    <row r="896" customFormat="false" ht="15.75" hidden="false" customHeight="false" outlineLevel="0" collapsed="false">
      <c r="B896" s="44"/>
      <c r="K896" s="46"/>
    </row>
    <row r="897" customFormat="false" ht="15.75" hidden="false" customHeight="false" outlineLevel="0" collapsed="false">
      <c r="B897" s="44"/>
      <c r="K897" s="46"/>
    </row>
    <row r="898" customFormat="false" ht="15.75" hidden="false" customHeight="false" outlineLevel="0" collapsed="false">
      <c r="B898" s="44"/>
      <c r="K898" s="46"/>
    </row>
    <row r="899" customFormat="false" ht="15.75" hidden="false" customHeight="false" outlineLevel="0" collapsed="false">
      <c r="B899" s="44"/>
      <c r="K899" s="46"/>
    </row>
    <row r="900" customFormat="false" ht="15.75" hidden="false" customHeight="false" outlineLevel="0" collapsed="false">
      <c r="B900" s="44"/>
      <c r="K900" s="46"/>
    </row>
    <row r="901" customFormat="false" ht="15.75" hidden="false" customHeight="false" outlineLevel="0" collapsed="false">
      <c r="B901" s="44"/>
      <c r="K901" s="46"/>
    </row>
    <row r="902" customFormat="false" ht="15.75" hidden="false" customHeight="false" outlineLevel="0" collapsed="false">
      <c r="B902" s="44"/>
      <c r="K902" s="46"/>
    </row>
    <row r="903" customFormat="false" ht="15.75" hidden="false" customHeight="false" outlineLevel="0" collapsed="false">
      <c r="B903" s="44"/>
      <c r="K903" s="46"/>
    </row>
    <row r="904" customFormat="false" ht="15.75" hidden="false" customHeight="false" outlineLevel="0" collapsed="false">
      <c r="B904" s="44"/>
      <c r="K904" s="46"/>
    </row>
    <row r="905" customFormat="false" ht="15.75" hidden="false" customHeight="false" outlineLevel="0" collapsed="false">
      <c r="B905" s="44"/>
      <c r="K905" s="46"/>
    </row>
    <row r="906" customFormat="false" ht="15.75" hidden="false" customHeight="false" outlineLevel="0" collapsed="false">
      <c r="B906" s="44"/>
      <c r="K906" s="46"/>
    </row>
    <row r="907" customFormat="false" ht="15.75" hidden="false" customHeight="false" outlineLevel="0" collapsed="false">
      <c r="B907" s="44"/>
      <c r="K907" s="46"/>
    </row>
    <row r="908" customFormat="false" ht="15.75" hidden="false" customHeight="false" outlineLevel="0" collapsed="false">
      <c r="B908" s="44"/>
      <c r="K908" s="46"/>
    </row>
    <row r="909" customFormat="false" ht="15.75" hidden="false" customHeight="false" outlineLevel="0" collapsed="false">
      <c r="B909" s="44"/>
      <c r="K909" s="46"/>
    </row>
    <row r="910" customFormat="false" ht="15.75" hidden="false" customHeight="false" outlineLevel="0" collapsed="false">
      <c r="B910" s="44"/>
      <c r="K910" s="46"/>
    </row>
    <row r="911" customFormat="false" ht="15.75" hidden="false" customHeight="false" outlineLevel="0" collapsed="false">
      <c r="B911" s="44"/>
      <c r="K911" s="46"/>
    </row>
    <row r="912" customFormat="false" ht="15.75" hidden="false" customHeight="false" outlineLevel="0" collapsed="false">
      <c r="B912" s="44"/>
      <c r="K912" s="46"/>
    </row>
    <row r="913" customFormat="false" ht="15.75" hidden="false" customHeight="false" outlineLevel="0" collapsed="false">
      <c r="B913" s="44"/>
      <c r="K913" s="46"/>
    </row>
    <row r="914" customFormat="false" ht="15.75" hidden="false" customHeight="false" outlineLevel="0" collapsed="false">
      <c r="B914" s="44"/>
      <c r="K914" s="46"/>
    </row>
    <row r="915" customFormat="false" ht="15.75" hidden="false" customHeight="false" outlineLevel="0" collapsed="false">
      <c r="B915" s="44"/>
      <c r="K915" s="46"/>
    </row>
    <row r="916" customFormat="false" ht="15.75" hidden="false" customHeight="false" outlineLevel="0" collapsed="false">
      <c r="B916" s="44"/>
      <c r="K916" s="46"/>
    </row>
    <row r="917" customFormat="false" ht="15.75" hidden="false" customHeight="false" outlineLevel="0" collapsed="false">
      <c r="B917" s="44"/>
      <c r="K917" s="46"/>
    </row>
    <row r="918" customFormat="false" ht="15.75" hidden="false" customHeight="false" outlineLevel="0" collapsed="false">
      <c r="B918" s="44"/>
      <c r="K918" s="46"/>
    </row>
    <row r="919" customFormat="false" ht="15.75" hidden="false" customHeight="false" outlineLevel="0" collapsed="false">
      <c r="B919" s="44"/>
      <c r="K919" s="46"/>
    </row>
    <row r="920" customFormat="false" ht="15.75" hidden="false" customHeight="false" outlineLevel="0" collapsed="false">
      <c r="B920" s="44"/>
      <c r="K920" s="46"/>
    </row>
    <row r="921" customFormat="false" ht="15.75" hidden="false" customHeight="false" outlineLevel="0" collapsed="false">
      <c r="B921" s="44"/>
      <c r="K921" s="46"/>
    </row>
    <row r="922" customFormat="false" ht="15.75" hidden="false" customHeight="false" outlineLevel="0" collapsed="false">
      <c r="B922" s="44"/>
      <c r="K922" s="46"/>
    </row>
    <row r="923" customFormat="false" ht="15.75" hidden="false" customHeight="false" outlineLevel="0" collapsed="false">
      <c r="B923" s="44"/>
      <c r="K923" s="46"/>
    </row>
    <row r="924" customFormat="false" ht="15.75" hidden="false" customHeight="false" outlineLevel="0" collapsed="false">
      <c r="B924" s="44"/>
      <c r="K924" s="46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true" outlineLevel="0" collapsed="false">
      <c r="B933" s="44"/>
    </row>
    <row r="934" customFormat="false" ht="15.75" hidden="false" customHeight="true" outlineLevel="0" collapsed="false">
      <c r="B934" s="44"/>
    </row>
    <row r="935" customFormat="false" ht="15.75" hidden="false" customHeight="true" outlineLevel="0" collapsed="false">
      <c r="B935" s="44"/>
    </row>
    <row r="936" customFormat="false" ht="15.75" hidden="false" customHeight="true" outlineLevel="0" collapsed="false">
      <c r="B936" s="44"/>
    </row>
    <row r="937" customFormat="false" ht="15.75" hidden="false" customHeight="true" outlineLevel="0" collapsed="false">
      <c r="B937" s="44"/>
    </row>
    <row r="938" customFormat="false" ht="15.75" hidden="false" customHeight="true" outlineLevel="0" collapsed="false">
      <c r="B938" s="44"/>
    </row>
    <row r="939" customFormat="false" ht="15.75" hidden="false" customHeight="true" outlineLevel="0" collapsed="false">
      <c r="B939" s="44"/>
    </row>
    <row r="940" customFormat="false" ht="15.75" hidden="false" customHeight="true" outlineLevel="0" collapsed="false">
      <c r="B940" s="44"/>
    </row>
    <row r="941" customFormat="false" ht="15.75" hidden="false" customHeight="true" outlineLevel="0" collapsed="false">
      <c r="B941" s="44"/>
    </row>
    <row r="942" customFormat="false" ht="15.75" hidden="false" customHeight="true" outlineLevel="0" collapsed="false">
      <c r="B942" s="44"/>
    </row>
    <row r="943" customFormat="false" ht="15.75" hidden="false" customHeight="true" outlineLevel="0" collapsed="false">
      <c r="B943" s="44"/>
    </row>
    <row r="944" customFormat="false" ht="15.75" hidden="false" customHeight="true" outlineLevel="0" collapsed="false">
      <c r="B944" s="44"/>
    </row>
    <row r="945" customFormat="false" ht="15.75" hidden="false" customHeight="true" outlineLevel="0" collapsed="false">
      <c r="B945" s="44"/>
    </row>
    <row r="946" customFormat="false" ht="15.75" hidden="false" customHeight="true" outlineLevel="0" collapsed="false">
      <c r="B946" s="44"/>
    </row>
    <row r="947" customFormat="false" ht="15.75" hidden="false" customHeight="true" outlineLevel="0" collapsed="false">
      <c r="B947" s="44"/>
    </row>
    <row r="948" customFormat="false" ht="15.75" hidden="false" customHeight="true" outlineLevel="0" collapsed="false">
      <c r="B948" s="44"/>
    </row>
    <row r="949" customFormat="false" ht="15.75" hidden="false" customHeight="true" outlineLevel="0" collapsed="false">
      <c r="B949" s="44"/>
    </row>
    <row r="950" customFormat="false" ht="15.75" hidden="false" customHeight="true" outlineLevel="0" collapsed="false">
      <c r="B950" s="44"/>
    </row>
    <row r="951" customFormat="false" ht="15.75" hidden="false" customHeight="true" outlineLevel="0" collapsed="false">
      <c r="B951" s="44"/>
    </row>
    <row r="952" customFormat="false" ht="15.75" hidden="false" customHeight="true" outlineLevel="0" collapsed="false">
      <c r="B952" s="44"/>
    </row>
    <row r="953" customFormat="false" ht="15.75" hidden="false" customHeight="true" outlineLevel="0" collapsed="false">
      <c r="B953" s="44"/>
    </row>
    <row r="954" customFormat="false" ht="15.75" hidden="false" customHeight="true" outlineLevel="0" collapsed="false">
      <c r="B954" s="44"/>
    </row>
    <row r="955" customFormat="false" ht="15.75" hidden="false" customHeight="true" outlineLevel="0" collapsed="false">
      <c r="B955" s="44"/>
    </row>
    <row r="956" customFormat="false" ht="15.75" hidden="false" customHeight="true" outlineLevel="0" collapsed="false">
      <c r="B956" s="44"/>
    </row>
    <row r="957" customFormat="false" ht="15.75" hidden="false" customHeight="true" outlineLevel="0" collapsed="false">
      <c r="B957" s="44"/>
    </row>
    <row r="958" customFormat="false" ht="15.75" hidden="false" customHeight="true" outlineLevel="0" collapsed="false">
      <c r="B958" s="44"/>
    </row>
    <row r="959" customFormat="false" ht="15.75" hidden="false" customHeight="true" outlineLevel="0" collapsed="false">
      <c r="B959" s="44"/>
    </row>
    <row r="960" customFormat="false" ht="15.75" hidden="false" customHeight="true" outlineLevel="0" collapsed="false">
      <c r="B960" s="44"/>
    </row>
    <row r="961" customFormat="false" ht="15.75" hidden="false" customHeight="true" outlineLevel="0" collapsed="false">
      <c r="B961" s="44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9">
    <dataValidation allowBlank="true" errorStyle="stop" operator="between" showDropDown="true" showErrorMessage="false" showInputMessage="false" sqref="F2:F37" type="none">
      <formula1>0</formula1>
      <formula2>0</formula2>
    </dataValidation>
    <dataValidation allowBlank="true" errorStyle="stop" operator="between" showDropDown="false" showErrorMessage="true" showInputMessage="false" sqref="C2:C37" type="list">
      <formula1>"Martes,Miércoles,Jueves,Viernes,Lunes,Domingo,--,Sabado "</formula1>
      <formula2>0</formula2>
    </dataValidation>
    <dataValidation allowBlank="true" errorStyle="stop" operator="between" showDropDown="false" showErrorMessage="false" showInputMessage="false" sqref="H2:H37" type="list">
      <formula1>"Iván,Andrés,José,Héctor,Mateo,--,Carlos M,Johan,Fernando,Elkin ,Felipe,Camilo "</formula1>
      <formula2>0</formula2>
    </dataValidation>
    <dataValidation allowBlank="true" errorStyle="stop" operator="between" showDropDown="false" showErrorMessage="true" showInputMessage="false" sqref="G2:G37" type="list">
      <formula1>"Alta,Normal,Urgente,Baja,--"</formula1>
      <formula2>0</formula2>
    </dataValidation>
    <dataValidation allowBlank="true" errorStyle="stop" operator="between" showDropDown="true" showErrorMessage="false" showInputMessage="false" sqref="A2:A37 J2:J37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I2:I37" type="list">
      <formula1>"Closed,Ready for testing ,Open,Under review,Partially Done,In progress,Approved,--,Needs more work,Deploy to production,Code Approved"</formula1>
      <formula2>0</formula2>
    </dataValidation>
    <dataValidation allowBlank="true" errorStyle="stop" operator="between" showDropDown="true" showErrorMessage="false" showInputMessage="false" sqref="K2:K37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E2:E37" type="list">
      <formula1>"Ajustes,Soporte,Mejoras,Corrección,Configuraciones,Revisión,--,Pagina Web,IT,Error,Blue,SOLICITUD ,PENDIENTE,Cotización ,Production "</formula1>
      <formula2>0</formula2>
    </dataValidation>
    <dataValidation allowBlank="true" errorStyle="stop" operator="between" showDropDown="false" showErrorMessage="false" showInputMessage="false" sqref="D2:D37" type="list">
      <formula1>"Faktur,Backpro,Zuckerman,Facialart,Dejusticia,Happycinamon,Nulab,Ncarb,ECOS,IDK,BMS,--,Swapps,WWilson,Tabby,Smart Web Apps,Comfinagro,IMC,Geosig,Soluciones Cientificas,ESCR"</formula1>
      <formula2>0</formula2>
    </dataValidation>
  </dataValidations>
  <hyperlinks>
    <hyperlink ref="M2" r:id="rId2" display="https://app.clickup.com/t/86b6ge9m2"/>
    <hyperlink ref="M3" r:id="rId3" display="https://app.clickup.com/t/86b6gu0re"/>
    <hyperlink ref="M4" r:id="rId4" display="https://app.clickup.com/t/86b6gvmej"/>
    <hyperlink ref="M5" r:id="rId5" display="https://app.clickup.com/t/86b6hemvf"/>
    <hyperlink ref="M6" r:id="rId6" display="https://app.clickup.com/t/86b6hx03d"/>
    <hyperlink ref="M7" r:id="rId7" display="https://app.clickup.com/t/86b6j7rhj"/>
    <hyperlink ref="M8" r:id="rId8" display="https://app.clickup.com/t/86b6jevpm"/>
    <hyperlink ref="M9" r:id="rId9" display="https://app.clickup.com/t/86b6jk0m5"/>
    <hyperlink ref="M10" r:id="rId10" display="https://app.clickup.com/t/86b6m0qgu"/>
    <hyperlink ref="M11" r:id="rId11" display="https://app.clickup.com/t/86b6mgr1r"/>
    <hyperlink ref="M12" r:id="rId12" display="https://app.clickup.com/t/86b6n5z0d"/>
    <hyperlink ref="M13" r:id="rId13" display="https://app.clickup.com/t/86b6njqpw"/>
    <hyperlink ref="M14" r:id="rId14" display="https://app.clickup.com/t/86b6nrz9z"/>
    <hyperlink ref="M15" r:id="rId15" display="https://app.clickup.com/t/86b6nudhx"/>
    <hyperlink ref="M16" r:id="rId16" display="https://app.clickup.com/t/86b6nk9jh"/>
    <hyperlink ref="M17" r:id="rId17" display="https://app.clickup.com/t/86b6q41km"/>
    <hyperlink ref="M18" r:id="rId18" display="https://app.clickup.com/t/86b6ptx76"/>
    <hyperlink ref="M19" r:id="rId19" display="https://app.clickup.com/t/86b6qf2gc"/>
    <hyperlink ref="M20" r:id="rId20" display="https://app.clickup.com/t/86b6r9r8j"/>
    <hyperlink ref="M21" r:id="rId21" display="https://app.clickup.com/t/86b6rfxa4"/>
    <hyperlink ref="M22" r:id="rId22" display="https://app.clickup.com/t/86b6rxuhw"/>
    <hyperlink ref="M23" r:id="rId23" display="https://app.clickup.com/t/86b6rr5ga"/>
    <hyperlink ref="M24" r:id="rId24" display="https://app.clickup.com/t/86b6rv9k8"/>
    <hyperlink ref="M25" r:id="rId25" display="https://app.clickup.com/t/86b6tetcg"/>
    <hyperlink ref="M26" r:id="rId26" display="https://app.clickup.com/t/86b6th7b4"/>
    <hyperlink ref="M27" r:id="rId27" display="https://app.clickup.com/t/86b6uq9uw"/>
    <hyperlink ref="M28" r:id="rId28" display="https://app.clickup.com/t/86b6v13wj"/>
    <hyperlink ref="M29" r:id="rId29" display="https://app.clickup.com/t/454056/SLA-2122"/>
    <hyperlink ref="M30" r:id="rId30" display="https://app.clickup.com/t/86b6vqwu1"/>
    <hyperlink ref="M31" r:id="rId31" display="https://app.clickup.com/t/86b6vr354"/>
    <hyperlink ref="M32" r:id="rId32" display="https://app.clickup.com/t/86b6vqybz"/>
    <hyperlink ref="M33" r:id="rId33" display="https://app.clickup.com/t/86b6wj26v"/>
    <hyperlink ref="M34" r:id="rId34" display="https://app.clickup.com/t/86b6wtxmj"/>
    <hyperlink ref="M35" r:id="rId35" display="https://app.clickup.com/t/86b6wvgqg"/>
    <hyperlink ref="M36" r:id="rId36" display="https://app.clickup.com/t/86b6wwb1p"/>
    <hyperlink ref="M37" r:id="rId37" display="https://app.clickup.com/t/86b6x1pbj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38"/>
  <tableParts>
    <tablePart r:id="rId3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9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A14" activeCellId="0" sqref="A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58.63"/>
    <col collapsed="false" customWidth="true" hidden="false" outlineLevel="0" max="8" min="8" style="1" width="14.25"/>
    <col collapsed="false" customWidth="true" hidden="false" outlineLevel="0" max="9" min="9" style="1" width="12.88"/>
    <col collapsed="false" customWidth="true" hidden="false" outlineLevel="0" max="10" min="10" style="1" width="13.38"/>
    <col collapsed="false" customWidth="true" hidden="false" outlineLevel="0" max="11" min="11" style="1" width="6.75"/>
    <col collapsed="false" customWidth="true" hidden="false" outlineLevel="0" max="12" min="12" style="1" width="12.75"/>
    <col collapsed="false" customWidth="true" hidden="false" outlineLevel="0" max="13" min="13" style="1" width="32.63"/>
  </cols>
  <sheetData>
    <row r="1" customFormat="false" ht="22.5" hidden="false" customHeight="true" outlineLevel="0" collapsed="false">
      <c r="A1" s="85" t="s">
        <v>842</v>
      </c>
      <c r="B1" s="50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5" t="s">
        <v>7</v>
      </c>
      <c r="I1" s="86" t="s">
        <v>8</v>
      </c>
      <c r="J1" s="85" t="s">
        <v>9</v>
      </c>
      <c r="K1" s="87" t="s">
        <v>10</v>
      </c>
      <c r="L1" s="85" t="s">
        <v>11</v>
      </c>
      <c r="M1" s="86" t="s">
        <v>12</v>
      </c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</row>
    <row r="2" customFormat="false" ht="22.5" hidden="false" customHeight="true" outlineLevel="0" collapsed="false">
      <c r="A2" s="63" t="n">
        <v>45931</v>
      </c>
      <c r="B2" s="1" t="n">
        <v>20</v>
      </c>
      <c r="C2" s="56" t="str">
        <f aca="false">IF(ISBLANK(A2), "--", PROPER(TEXT(A2, "dddd")))</f>
        <v>Wednesday</v>
      </c>
      <c r="D2" s="56" t="s">
        <v>167</v>
      </c>
      <c r="E2" s="56" t="s">
        <v>17</v>
      </c>
      <c r="F2" s="60" t="s">
        <v>1259</v>
      </c>
      <c r="G2" s="56" t="s">
        <v>19</v>
      </c>
      <c r="H2" s="56" t="s">
        <v>449</v>
      </c>
      <c r="I2" s="56" t="s">
        <v>21</v>
      </c>
      <c r="J2" s="57" t="n">
        <v>45931</v>
      </c>
      <c r="K2" s="58" t="n">
        <v>2</v>
      </c>
      <c r="L2" s="59" t="n">
        <v>0.0243055555555556</v>
      </c>
      <c r="M2" s="61" t="s">
        <v>1260</v>
      </c>
    </row>
    <row r="3" customFormat="false" ht="22.5" hidden="false" customHeight="true" outlineLevel="0" collapsed="false">
      <c r="A3" s="63" t="n">
        <v>45931</v>
      </c>
      <c r="B3" s="1" t="n">
        <v>20</v>
      </c>
      <c r="C3" s="56" t="str">
        <f aca="false">IF(ISBLANK(A3), "--", PROPER(TEXT(A3, "dddd")))</f>
        <v>Wednesday</v>
      </c>
      <c r="D3" s="56" t="s">
        <v>46</v>
      </c>
      <c r="E3" s="56" t="s">
        <v>17</v>
      </c>
      <c r="F3" s="60" t="s">
        <v>1261</v>
      </c>
      <c r="G3" s="56" t="s">
        <v>19</v>
      </c>
      <c r="H3" s="56" t="s">
        <v>449</v>
      </c>
      <c r="I3" s="56" t="s">
        <v>21</v>
      </c>
      <c r="J3" s="57" t="n">
        <v>45932</v>
      </c>
      <c r="K3" s="58" t="n">
        <v>1</v>
      </c>
      <c r="L3" s="59" t="n">
        <v>0.111111111111111</v>
      </c>
      <c r="M3" s="31" t="s">
        <v>1262</v>
      </c>
    </row>
    <row r="4" customFormat="false" ht="22.5" hidden="false" customHeight="true" outlineLevel="0" collapsed="false">
      <c r="A4" s="63" t="n">
        <v>45931</v>
      </c>
      <c r="B4" s="1" t="n">
        <v>20</v>
      </c>
      <c r="C4" s="56" t="str">
        <f aca="false">IF(ISBLANK(A4), "--", PROPER(TEXT(A4, "dddd")))</f>
        <v>Wednesday</v>
      </c>
      <c r="D4" s="56" t="s">
        <v>16</v>
      </c>
      <c r="E4" s="56" t="s">
        <v>17</v>
      </c>
      <c r="F4" s="60" t="s">
        <v>1263</v>
      </c>
      <c r="G4" s="56" t="s">
        <v>48</v>
      </c>
      <c r="H4" s="56" t="s">
        <v>449</v>
      </c>
      <c r="I4" s="56" t="s">
        <v>21</v>
      </c>
      <c r="J4" s="57" t="n">
        <v>45933</v>
      </c>
      <c r="K4" s="58" t="n">
        <v>1</v>
      </c>
      <c r="L4" s="59" t="n">
        <v>0.0638888888888889</v>
      </c>
      <c r="M4" s="31" t="s">
        <v>1264</v>
      </c>
    </row>
    <row r="5" customFormat="false" ht="22.5" hidden="false" customHeight="true" outlineLevel="0" collapsed="false">
      <c r="A5" s="63" t="n">
        <v>45931</v>
      </c>
      <c r="B5" s="1" t="n">
        <v>20</v>
      </c>
      <c r="C5" s="56" t="str">
        <f aca="false">IF(ISBLANK(A5), "--", PROPER(TEXT(A5, "dddd")))</f>
        <v>Wednesday</v>
      </c>
      <c r="D5" s="56" t="s">
        <v>85</v>
      </c>
      <c r="E5" s="56" t="s">
        <v>17</v>
      </c>
      <c r="F5" s="60" t="s">
        <v>1265</v>
      </c>
      <c r="G5" s="56" t="s">
        <v>48</v>
      </c>
      <c r="H5" s="56" t="s">
        <v>70</v>
      </c>
      <c r="I5" s="56" t="s">
        <v>21</v>
      </c>
      <c r="J5" s="57" t="n">
        <v>45937</v>
      </c>
      <c r="K5" s="58" t="n">
        <v>0.5</v>
      </c>
      <c r="L5" s="59" t="n">
        <v>0.0333333333333333</v>
      </c>
      <c r="M5" s="31" t="s">
        <v>1266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customFormat="false" ht="22.5" hidden="false" customHeight="true" outlineLevel="0" collapsed="false">
      <c r="A6" s="63" t="n">
        <v>45932</v>
      </c>
      <c r="B6" s="1" t="n">
        <v>20</v>
      </c>
      <c r="C6" s="56" t="str">
        <f aca="false">IF(ISBLANK(A6), "--", PROPER(TEXT(A6, "dddd")))</f>
        <v>Thursday</v>
      </c>
      <c r="D6" s="56" t="s">
        <v>156</v>
      </c>
      <c r="E6" s="56" t="s">
        <v>17</v>
      </c>
      <c r="F6" s="60" t="s">
        <v>1267</v>
      </c>
      <c r="G6" s="56" t="s">
        <v>19</v>
      </c>
      <c r="H6" s="56" t="s">
        <v>449</v>
      </c>
      <c r="I6" s="56" t="s">
        <v>21</v>
      </c>
      <c r="J6" s="63" t="n">
        <v>45936</v>
      </c>
      <c r="K6" s="58" t="n">
        <v>1</v>
      </c>
      <c r="L6" s="59" t="n">
        <v>0.0881944444444445</v>
      </c>
      <c r="M6" s="31" t="s">
        <v>1268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customFormat="false" ht="22.5" hidden="false" customHeight="true" outlineLevel="0" collapsed="false">
      <c r="A7" s="63" t="n">
        <v>45932</v>
      </c>
      <c r="B7" s="1" t="n">
        <v>20</v>
      </c>
      <c r="C7" s="56" t="str">
        <f aca="false">IF(ISBLANK(A7), "--", PROPER(TEXT(A7, "dddd")))</f>
        <v>Thursday</v>
      </c>
      <c r="D7" s="56" t="s">
        <v>156</v>
      </c>
      <c r="E7" s="56" t="s">
        <v>17</v>
      </c>
      <c r="F7" s="60" t="s">
        <v>1269</v>
      </c>
      <c r="G7" s="56" t="s">
        <v>19</v>
      </c>
      <c r="H7" s="56" t="s">
        <v>449</v>
      </c>
      <c r="I7" s="56" t="s">
        <v>21</v>
      </c>
      <c r="J7" s="63" t="n">
        <v>45936</v>
      </c>
      <c r="K7" s="58" t="n">
        <v>2</v>
      </c>
      <c r="L7" s="59" t="n">
        <v>0.157638888888889</v>
      </c>
      <c r="M7" s="31" t="s">
        <v>1270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customFormat="false" ht="22.5" hidden="false" customHeight="true" outlineLevel="0" collapsed="false">
      <c r="A8" s="63" t="n">
        <v>45933</v>
      </c>
      <c r="B8" s="1" t="n">
        <v>20</v>
      </c>
      <c r="C8" s="56" t="str">
        <f aca="false">IF(ISBLANK(A8), "--", PROPER(TEXT(A8, "dddd")))</f>
        <v>Friday</v>
      </c>
      <c r="D8" s="56" t="s">
        <v>156</v>
      </c>
      <c r="E8" s="56" t="s">
        <v>17</v>
      </c>
      <c r="F8" s="60" t="s">
        <v>1271</v>
      </c>
      <c r="G8" s="56" t="s">
        <v>19</v>
      </c>
      <c r="H8" s="56" t="s">
        <v>449</v>
      </c>
      <c r="I8" s="56" t="s">
        <v>21</v>
      </c>
      <c r="J8" s="63" t="n">
        <v>45933</v>
      </c>
      <c r="K8" s="58" t="n">
        <v>1</v>
      </c>
      <c r="L8" s="59" t="n">
        <v>0.0506944444444444</v>
      </c>
      <c r="M8" s="61" t="s">
        <v>1272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customFormat="false" ht="22.5" hidden="false" customHeight="true" outlineLevel="0" collapsed="false">
      <c r="A9" s="63" t="n">
        <v>45936</v>
      </c>
      <c r="B9" s="1" t="n">
        <v>20</v>
      </c>
      <c r="C9" s="56" t="str">
        <f aca="false">IF(ISBLANK(A9), "--", PROPER(TEXT(A9, "dddd")))</f>
        <v>Monday</v>
      </c>
      <c r="D9" s="56" t="s">
        <v>85</v>
      </c>
      <c r="E9" s="56" t="s">
        <v>17</v>
      </c>
      <c r="F9" s="60" t="s">
        <v>1273</v>
      </c>
      <c r="G9" s="56" t="s">
        <v>19</v>
      </c>
      <c r="H9" s="56" t="s">
        <v>70</v>
      </c>
      <c r="I9" s="56" t="s">
        <v>21</v>
      </c>
      <c r="J9" s="63" t="n">
        <v>45936</v>
      </c>
      <c r="K9" s="58" t="n">
        <v>0.5</v>
      </c>
      <c r="L9" s="59" t="n">
        <v>0.0590277777777778</v>
      </c>
      <c r="M9" s="82" t="s">
        <v>1274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customFormat="false" ht="22.5" hidden="false" customHeight="true" outlineLevel="0" collapsed="false">
      <c r="A10" s="63" t="n">
        <v>45936</v>
      </c>
      <c r="B10" s="1" t="n">
        <v>20</v>
      </c>
      <c r="C10" s="56" t="str">
        <f aca="false">IF(ISBLANK(A10), "--", PROPER(TEXT(A10, "dddd")))</f>
        <v>Monday</v>
      </c>
      <c r="D10" s="56" t="s">
        <v>134</v>
      </c>
      <c r="E10" s="56" t="s">
        <v>17</v>
      </c>
      <c r="F10" s="60" t="s">
        <v>1275</v>
      </c>
      <c r="G10" s="56" t="s">
        <v>19</v>
      </c>
      <c r="H10" s="56" t="s">
        <v>70</v>
      </c>
      <c r="I10" s="56" t="s">
        <v>21</v>
      </c>
      <c r="J10" s="57" t="n">
        <v>45940</v>
      </c>
      <c r="K10" s="58" t="n">
        <v>1</v>
      </c>
      <c r="L10" s="59" t="n">
        <v>0.04375</v>
      </c>
      <c r="M10" s="31" t="s">
        <v>1276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customFormat="false" ht="22.5" hidden="false" customHeight="true" outlineLevel="0" collapsed="false">
      <c r="A11" s="63" t="n">
        <v>45938</v>
      </c>
      <c r="B11" s="1" t="n">
        <v>20</v>
      </c>
      <c r="C11" s="56" t="str">
        <f aca="false">IF(ISBLANK(A11), "--", PROPER(TEXT(A11, "dddd")))</f>
        <v>Wednesday</v>
      </c>
      <c r="D11" s="56" t="s">
        <v>156</v>
      </c>
      <c r="E11" s="56" t="s">
        <v>17</v>
      </c>
      <c r="F11" s="60" t="s">
        <v>1277</v>
      </c>
      <c r="G11" s="56" t="s">
        <v>19</v>
      </c>
      <c r="H11" s="56" t="s">
        <v>449</v>
      </c>
      <c r="I11" s="56" t="s">
        <v>21</v>
      </c>
      <c r="J11" s="57" t="n">
        <v>45940</v>
      </c>
      <c r="K11" s="58" t="n">
        <v>1</v>
      </c>
      <c r="L11" s="59" t="n">
        <v>0.152777777777778</v>
      </c>
      <c r="M11" s="31" t="s">
        <v>1278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customFormat="false" ht="22.5" hidden="false" customHeight="true" outlineLevel="0" collapsed="false">
      <c r="A12" s="63" t="n">
        <v>45938</v>
      </c>
      <c r="B12" s="1" t="n">
        <v>20</v>
      </c>
      <c r="C12" s="56" t="str">
        <f aca="false">IF(ISBLANK(A12), "--", PROPER(TEXT(A12, "dddd")))</f>
        <v>Wednesday</v>
      </c>
      <c r="D12" s="56" t="s">
        <v>145</v>
      </c>
      <c r="E12" s="56" t="s">
        <v>139</v>
      </c>
      <c r="F12" s="60" t="s">
        <v>1279</v>
      </c>
      <c r="G12" s="56" t="s">
        <v>48</v>
      </c>
      <c r="H12" s="56" t="s">
        <v>141</v>
      </c>
      <c r="I12" s="56" t="s">
        <v>21</v>
      </c>
      <c r="J12" s="57" t="n">
        <v>45939</v>
      </c>
      <c r="K12" s="58" t="n">
        <v>0.5</v>
      </c>
      <c r="L12" s="59" t="n">
        <v>0.0201388888888889</v>
      </c>
      <c r="M12" s="31" t="s">
        <v>1280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customFormat="false" ht="22.5" hidden="false" customHeight="true" outlineLevel="0" collapsed="false">
      <c r="A13" s="63" t="n">
        <v>45939</v>
      </c>
      <c r="B13" s="1" t="n">
        <v>20</v>
      </c>
      <c r="C13" s="56" t="str">
        <f aca="false">IF(ISBLANK(A13), "--", PROPER(TEXT(A13, "dddd")))</f>
        <v>Thursday</v>
      </c>
      <c r="D13" s="56" t="s">
        <v>130</v>
      </c>
      <c r="E13" s="56" t="s">
        <v>17</v>
      </c>
      <c r="F13" s="60" t="s">
        <v>1281</v>
      </c>
      <c r="G13" s="56" t="s">
        <v>19</v>
      </c>
      <c r="H13" s="56" t="s">
        <v>449</v>
      </c>
      <c r="I13" s="56" t="s">
        <v>21</v>
      </c>
      <c r="J13" s="57" t="n">
        <v>45939</v>
      </c>
      <c r="K13" s="58" t="n">
        <v>1</v>
      </c>
      <c r="L13" s="59" t="n">
        <v>0.0763888888888889</v>
      </c>
      <c r="M13" s="31" t="s">
        <v>1282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customFormat="false" ht="22.5" hidden="false" customHeight="true" outlineLevel="0" collapsed="false">
      <c r="A14" s="77" t="n">
        <v>45944</v>
      </c>
      <c r="B14" s="1" t="n">
        <v>21</v>
      </c>
      <c r="C14" s="56" t="str">
        <f aca="false">IF(ISBLANK(A14), "--", PROPER(TEXT(A14, "dddd")))</f>
        <v>Tuesday</v>
      </c>
      <c r="D14" s="56" t="s">
        <v>134</v>
      </c>
      <c r="E14" s="56" t="s">
        <v>17</v>
      </c>
      <c r="F14" s="60" t="s">
        <v>1283</v>
      </c>
      <c r="G14" s="56" t="s">
        <v>19</v>
      </c>
      <c r="H14" s="56" t="s">
        <v>449</v>
      </c>
      <c r="I14" s="56" t="s">
        <v>21</v>
      </c>
      <c r="J14" s="57" t="n">
        <v>45954</v>
      </c>
      <c r="K14" s="58" t="n">
        <v>2</v>
      </c>
      <c r="L14" s="59" t="n">
        <v>0.169444444444444</v>
      </c>
      <c r="M14" s="31" t="s">
        <v>1284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customFormat="false" ht="22.5" hidden="false" customHeight="true" outlineLevel="0" collapsed="false">
      <c r="A15" s="63" t="n">
        <v>45944</v>
      </c>
      <c r="B15" s="1" t="n">
        <v>21</v>
      </c>
      <c r="C15" s="56" t="str">
        <f aca="false">IF(ISBLANK(A15), "--", PROPER(TEXT(A15, "dddd")))</f>
        <v>Tuesday</v>
      </c>
      <c r="D15" s="56" t="s">
        <v>85</v>
      </c>
      <c r="E15" s="56" t="s">
        <v>17</v>
      </c>
      <c r="F15" s="60" t="s">
        <v>1285</v>
      </c>
      <c r="G15" s="56" t="s">
        <v>48</v>
      </c>
      <c r="H15" s="56" t="s">
        <v>70</v>
      </c>
      <c r="I15" s="56" t="s">
        <v>21</v>
      </c>
      <c r="J15" s="57" t="n">
        <v>45953</v>
      </c>
      <c r="K15" s="58" t="n">
        <v>1</v>
      </c>
      <c r="L15" s="59" t="n">
        <v>0.0715277777777778</v>
      </c>
      <c r="M15" s="31" t="s">
        <v>1286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customFormat="false" ht="22.5" hidden="false" customHeight="true" outlineLevel="0" collapsed="false">
      <c r="A16" s="63" t="n">
        <v>45945</v>
      </c>
      <c r="B16" s="1" t="n">
        <v>21</v>
      </c>
      <c r="C16" s="56" t="str">
        <f aca="false">IF(ISBLANK(A16), "--", PROPER(TEXT(A16, "dddd")))</f>
        <v>Wednesday</v>
      </c>
      <c r="D16" s="56" t="s">
        <v>16</v>
      </c>
      <c r="E16" s="56" t="s">
        <v>17</v>
      </c>
      <c r="F16" s="60" t="s">
        <v>1287</v>
      </c>
      <c r="G16" s="56" t="s">
        <v>77</v>
      </c>
      <c r="H16" s="56" t="s">
        <v>449</v>
      </c>
      <c r="I16" s="56" t="s">
        <v>21</v>
      </c>
      <c r="J16" s="57" t="n">
        <v>45946</v>
      </c>
      <c r="K16" s="58" t="n">
        <v>1</v>
      </c>
      <c r="L16" s="59" t="n">
        <v>0.0701388888888889</v>
      </c>
      <c r="M16" s="61" t="s">
        <v>1288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customFormat="false" ht="22.5" hidden="false" customHeight="true" outlineLevel="0" collapsed="false">
      <c r="A17" s="63" t="n">
        <v>45945</v>
      </c>
      <c r="B17" s="1" t="n">
        <v>21</v>
      </c>
      <c r="C17" s="56" t="str">
        <f aca="false">IF(ISBLANK(A17), "--", PROPER(TEXT(A17, "dddd")))</f>
        <v>Wednesday</v>
      </c>
      <c r="D17" s="56" t="s">
        <v>85</v>
      </c>
      <c r="E17" s="56" t="s">
        <v>17</v>
      </c>
      <c r="F17" s="60" t="s">
        <v>1289</v>
      </c>
      <c r="G17" s="56" t="s">
        <v>48</v>
      </c>
      <c r="H17" s="56" t="s">
        <v>70</v>
      </c>
      <c r="I17" s="56" t="s">
        <v>21</v>
      </c>
      <c r="J17" s="57" t="n">
        <v>45953</v>
      </c>
      <c r="K17" s="58" t="n">
        <v>0.5</v>
      </c>
      <c r="L17" s="59" t="n">
        <v>0.313888888888889</v>
      </c>
      <c r="M17" s="61" t="s">
        <v>1290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customFormat="false" ht="22.5" hidden="false" customHeight="true" outlineLevel="0" collapsed="false">
      <c r="A18" s="63" t="n">
        <v>45946</v>
      </c>
      <c r="B18" s="1" t="n">
        <v>21</v>
      </c>
      <c r="C18" s="56" t="str">
        <f aca="false">IF(ISBLANK(A18), "--", PROPER(TEXT(A18, "dddd")))</f>
        <v>Thursday</v>
      </c>
      <c r="D18" s="56" t="s">
        <v>16</v>
      </c>
      <c r="E18" s="56" t="s">
        <v>17</v>
      </c>
      <c r="F18" s="60" t="s">
        <v>1291</v>
      </c>
      <c r="G18" s="56" t="s">
        <v>19</v>
      </c>
      <c r="H18" s="56" t="s">
        <v>449</v>
      </c>
      <c r="I18" s="56" t="s">
        <v>21</v>
      </c>
      <c r="J18" s="63" t="n">
        <v>45950</v>
      </c>
      <c r="K18" s="58" t="n">
        <v>2</v>
      </c>
      <c r="L18" s="59" t="n">
        <v>0.145833333333333</v>
      </c>
      <c r="M18" s="31" t="s">
        <v>1292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customFormat="false" ht="22.5" hidden="false" customHeight="true" outlineLevel="0" collapsed="false">
      <c r="A19" s="63" t="n">
        <v>45947</v>
      </c>
      <c r="B19" s="1" t="n">
        <v>21</v>
      </c>
      <c r="C19" s="56" t="str">
        <f aca="false">IF(ISBLANK(A19), "--", PROPER(TEXT(A19, "dddd")))</f>
        <v>Friday</v>
      </c>
      <c r="D19" s="56" t="s">
        <v>130</v>
      </c>
      <c r="E19" s="56" t="s">
        <v>17</v>
      </c>
      <c r="F19" s="60" t="s">
        <v>1293</v>
      </c>
      <c r="G19" s="56" t="s">
        <v>19</v>
      </c>
      <c r="H19" s="56" t="s">
        <v>449</v>
      </c>
      <c r="I19" s="56" t="s">
        <v>21</v>
      </c>
      <c r="J19" s="63" t="n">
        <v>45954</v>
      </c>
      <c r="K19" s="58" t="n">
        <v>1</v>
      </c>
      <c r="L19" s="59" t="n">
        <v>0.146527777777778</v>
      </c>
      <c r="M19" s="31" t="s">
        <v>1294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customFormat="false" ht="22.5" hidden="false" customHeight="true" outlineLevel="0" collapsed="false">
      <c r="A20" s="63" t="n">
        <v>45950</v>
      </c>
      <c r="B20" s="1" t="n">
        <v>21</v>
      </c>
      <c r="C20" s="56" t="str">
        <f aca="false">IF(ISBLANK(A20), "--", PROPER(TEXT(A20, "dddd")))</f>
        <v>Monday</v>
      </c>
      <c r="D20" s="56" t="s">
        <v>145</v>
      </c>
      <c r="E20" s="56" t="s">
        <v>139</v>
      </c>
      <c r="F20" s="60" t="s">
        <v>1295</v>
      </c>
      <c r="G20" s="56" t="s">
        <v>48</v>
      </c>
      <c r="H20" s="56" t="s">
        <v>141</v>
      </c>
      <c r="I20" s="56" t="s">
        <v>21</v>
      </c>
      <c r="J20" s="63" t="n">
        <v>45953</v>
      </c>
      <c r="K20" s="58" t="n">
        <v>1</v>
      </c>
      <c r="L20" s="59" t="n">
        <v>0.0840277777777778</v>
      </c>
      <c r="M20" s="31" t="s">
        <v>1296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customFormat="false" ht="22.5" hidden="false" customHeight="true" outlineLevel="0" collapsed="false">
      <c r="A21" s="63" t="n">
        <v>45950</v>
      </c>
      <c r="B21" s="1" t="n">
        <v>21</v>
      </c>
      <c r="C21" s="56" t="str">
        <f aca="false">IF(ISBLANK(A21), "--", PROPER(TEXT(A21, "dddd")))</f>
        <v>Monday</v>
      </c>
      <c r="D21" s="56" t="s">
        <v>16</v>
      </c>
      <c r="E21" s="56" t="s">
        <v>17</v>
      </c>
      <c r="F21" s="60" t="s">
        <v>1297</v>
      </c>
      <c r="G21" s="56" t="s">
        <v>77</v>
      </c>
      <c r="H21" s="56" t="s">
        <v>70</v>
      </c>
      <c r="I21" s="56" t="s">
        <v>21</v>
      </c>
      <c r="J21" s="63" t="n">
        <v>45950</v>
      </c>
      <c r="K21" s="58" t="n">
        <v>1</v>
      </c>
      <c r="L21" s="59" t="n">
        <v>0.0145833333333333</v>
      </c>
      <c r="M21" s="31" t="s">
        <v>1298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customFormat="false" ht="22.5" hidden="false" customHeight="true" outlineLevel="0" collapsed="false">
      <c r="A22" s="63" t="n">
        <v>45951</v>
      </c>
      <c r="B22" s="1" t="n">
        <v>21</v>
      </c>
      <c r="C22" s="56" t="str">
        <f aca="false">IF(ISBLANK(A22), "--", PROPER(TEXT(A22, "dddd")))</f>
        <v>Tuesday</v>
      </c>
      <c r="D22" s="56" t="s">
        <v>104</v>
      </c>
      <c r="E22" s="56" t="s">
        <v>17</v>
      </c>
      <c r="F22" s="60" t="s">
        <v>1299</v>
      </c>
      <c r="G22" s="56" t="s">
        <v>48</v>
      </c>
      <c r="H22" s="56" t="s">
        <v>449</v>
      </c>
      <c r="I22" s="56" t="s">
        <v>21</v>
      </c>
      <c r="J22" s="63" t="n">
        <v>45952</v>
      </c>
      <c r="K22" s="58" t="n">
        <v>1</v>
      </c>
      <c r="L22" s="59" t="n">
        <v>0.0236111111111111</v>
      </c>
      <c r="M22" s="61" t="s">
        <v>1300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customFormat="false" ht="22.5" hidden="false" customHeight="true" outlineLevel="0" collapsed="false">
      <c r="A23" s="63" t="n">
        <v>45951</v>
      </c>
      <c r="B23" s="1" t="n">
        <v>21</v>
      </c>
      <c r="C23" s="56" t="str">
        <f aca="false">IF(ISBLANK(A23), "--", PROPER(TEXT(A23, "dddd")))</f>
        <v>Tuesday</v>
      </c>
      <c r="D23" s="56" t="s">
        <v>16</v>
      </c>
      <c r="E23" s="56" t="s">
        <v>17</v>
      </c>
      <c r="F23" s="60" t="s">
        <v>1301</v>
      </c>
      <c r="G23" s="56" t="s">
        <v>48</v>
      </c>
      <c r="H23" s="56" t="s">
        <v>449</v>
      </c>
      <c r="I23" s="56" t="s">
        <v>21</v>
      </c>
      <c r="J23" s="63" t="n">
        <v>45954</v>
      </c>
      <c r="K23" s="58" t="n">
        <v>2</v>
      </c>
      <c r="L23" s="59" t="n">
        <v>0.156944444444444</v>
      </c>
      <c r="M23" s="83" t="s">
        <v>1302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customFormat="false" ht="22.5" hidden="false" customHeight="true" outlineLevel="0" collapsed="false">
      <c r="A24" s="63" t="n">
        <v>45951</v>
      </c>
      <c r="B24" s="1" t="n">
        <v>21</v>
      </c>
      <c r="C24" s="56" t="str">
        <f aca="false">IF(ISBLANK(A24), "--", PROPER(TEXT(A24, "dddd")))</f>
        <v>Tuesday</v>
      </c>
      <c r="D24" s="56" t="s">
        <v>16</v>
      </c>
      <c r="E24" s="56" t="s">
        <v>17</v>
      </c>
      <c r="F24" s="60" t="s">
        <v>1303</v>
      </c>
      <c r="G24" s="56" t="s">
        <v>48</v>
      </c>
      <c r="H24" s="56" t="s">
        <v>449</v>
      </c>
      <c r="I24" s="56" t="s">
        <v>285</v>
      </c>
      <c r="J24" s="63" t="n">
        <v>45979</v>
      </c>
      <c r="K24" s="58" t="n">
        <v>2</v>
      </c>
      <c r="L24" s="59" t="n">
        <v>0.197222222222222</v>
      </c>
      <c r="M24" s="83" t="s">
        <v>1304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customFormat="false" ht="22.5" hidden="false" customHeight="true" outlineLevel="0" collapsed="false">
      <c r="A25" s="63" t="n">
        <v>45951</v>
      </c>
      <c r="B25" s="1" t="n">
        <v>21</v>
      </c>
      <c r="C25" s="56" t="str">
        <f aca="false">IF(ISBLANK(A25), "--", PROPER(TEXT(A25, "dddd")))</f>
        <v>Tuesday</v>
      </c>
      <c r="D25" s="56" t="s">
        <v>16</v>
      </c>
      <c r="E25" s="56" t="s">
        <v>17</v>
      </c>
      <c r="F25" s="60" t="s">
        <v>1305</v>
      </c>
      <c r="G25" s="56" t="s">
        <v>19</v>
      </c>
      <c r="H25" s="56" t="s">
        <v>449</v>
      </c>
      <c r="I25" s="56" t="s">
        <v>21</v>
      </c>
      <c r="J25" s="63" t="n">
        <v>45966</v>
      </c>
      <c r="K25" s="58" t="n">
        <v>2</v>
      </c>
      <c r="L25" s="59" t="n">
        <v>0.0625</v>
      </c>
      <c r="M25" s="83" t="s">
        <v>1306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customFormat="false" ht="22.5" hidden="false" customHeight="true" outlineLevel="0" collapsed="false">
      <c r="A26" s="63" t="n">
        <v>45951</v>
      </c>
      <c r="B26" s="1" t="n">
        <v>21</v>
      </c>
      <c r="C26" s="56" t="str">
        <f aca="false">IF(ISBLANK(A26), "--", PROPER(TEXT(A26, "dddd")))</f>
        <v>Tuesday</v>
      </c>
      <c r="D26" s="56" t="s">
        <v>16</v>
      </c>
      <c r="E26" s="56" t="s">
        <v>17</v>
      </c>
      <c r="F26" s="60" t="s">
        <v>1307</v>
      </c>
      <c r="G26" s="56" t="s">
        <v>77</v>
      </c>
      <c r="H26" s="56" t="s">
        <v>70</v>
      </c>
      <c r="I26" s="56" t="s">
        <v>21</v>
      </c>
      <c r="J26" s="63" t="n">
        <v>45967</v>
      </c>
      <c r="K26" s="58" t="n">
        <v>3</v>
      </c>
      <c r="L26" s="59" t="n">
        <v>0.226388888888889</v>
      </c>
      <c r="M26" s="64" t="s">
        <v>1308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customFormat="false" ht="22.5" hidden="false" customHeight="true" outlineLevel="0" collapsed="false">
      <c r="A27" s="63" t="n">
        <v>45951</v>
      </c>
      <c r="B27" s="1" t="n">
        <v>21</v>
      </c>
      <c r="C27" s="56" t="str">
        <f aca="false">IF(ISBLANK(A27), "--", PROPER(TEXT(A27, "dddd")))</f>
        <v>Tuesday</v>
      </c>
      <c r="D27" s="56" t="s">
        <v>16</v>
      </c>
      <c r="E27" s="56" t="s">
        <v>17</v>
      </c>
      <c r="F27" s="60" t="s">
        <v>1309</v>
      </c>
      <c r="G27" s="56" t="s">
        <v>48</v>
      </c>
      <c r="H27" s="56" t="s">
        <v>1310</v>
      </c>
      <c r="I27" s="56" t="s">
        <v>21</v>
      </c>
      <c r="J27" s="63" t="n">
        <v>45954</v>
      </c>
      <c r="K27" s="58" t="n">
        <v>1</v>
      </c>
      <c r="L27" s="59" t="n">
        <v>0.140972222222222</v>
      </c>
      <c r="M27" s="64" t="s">
        <v>1311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customFormat="false" ht="22.5" hidden="false" customHeight="true" outlineLevel="0" collapsed="false">
      <c r="A28" s="63" t="n">
        <v>45952</v>
      </c>
      <c r="B28" s="1" t="n">
        <v>21</v>
      </c>
      <c r="C28" s="56" t="str">
        <f aca="false">IF(ISBLANK(A28), "--", PROPER(TEXT(A28, "dddd")))</f>
        <v>Wednesday</v>
      </c>
      <c r="D28" s="56" t="s">
        <v>156</v>
      </c>
      <c r="E28" s="56" t="s">
        <v>17</v>
      </c>
      <c r="F28" s="60" t="s">
        <v>1312</v>
      </c>
      <c r="G28" s="56" t="s">
        <v>77</v>
      </c>
      <c r="H28" s="56" t="s">
        <v>449</v>
      </c>
      <c r="I28" s="56" t="s">
        <v>21</v>
      </c>
      <c r="J28" s="57" t="n">
        <v>45952</v>
      </c>
      <c r="K28" s="58" t="n">
        <v>1</v>
      </c>
      <c r="L28" s="59" t="n">
        <v>0.0625</v>
      </c>
      <c r="M28" s="31" t="s">
        <v>1313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customFormat="false" ht="22.5" hidden="false" customHeight="true" outlineLevel="0" collapsed="false">
      <c r="A29" s="63" t="n">
        <v>45952</v>
      </c>
      <c r="B29" s="1" t="n">
        <v>21</v>
      </c>
      <c r="C29" s="56" t="str">
        <f aca="false">IF(ISBLANK(A29), "--", PROPER(TEXT(A29, "dddd")))</f>
        <v>Wednesday</v>
      </c>
      <c r="D29" s="56" t="s">
        <v>145</v>
      </c>
      <c r="E29" s="56" t="s">
        <v>139</v>
      </c>
      <c r="F29" s="60" t="s">
        <v>1314</v>
      </c>
      <c r="G29" s="56" t="s">
        <v>48</v>
      </c>
      <c r="H29" s="56" t="s">
        <v>141</v>
      </c>
      <c r="I29" s="56" t="s">
        <v>21</v>
      </c>
      <c r="J29" s="57" t="n">
        <v>45953</v>
      </c>
      <c r="K29" s="58" t="n">
        <v>0.5</v>
      </c>
      <c r="L29" s="59" t="n">
        <v>0.00347222222222222</v>
      </c>
      <c r="M29" s="31" t="s">
        <v>1315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customFormat="false" ht="22.5" hidden="false" customHeight="true" outlineLevel="0" collapsed="false">
      <c r="A30" s="63" t="n">
        <v>45953</v>
      </c>
      <c r="B30" s="1" t="n">
        <v>21</v>
      </c>
      <c r="C30" s="56" t="str">
        <f aca="false">IF(ISBLANK(A30), "--", PROPER(TEXT(A30, "dddd")))</f>
        <v>Thursday</v>
      </c>
      <c r="D30" s="56" t="s">
        <v>156</v>
      </c>
      <c r="E30" s="56" t="s">
        <v>17</v>
      </c>
      <c r="F30" s="60" t="s">
        <v>1316</v>
      </c>
      <c r="G30" s="56" t="s">
        <v>77</v>
      </c>
      <c r="H30" s="56" t="s">
        <v>449</v>
      </c>
      <c r="I30" s="56" t="s">
        <v>21</v>
      </c>
      <c r="J30" s="57" t="n">
        <v>45954</v>
      </c>
      <c r="K30" s="58" t="n">
        <v>1</v>
      </c>
      <c r="L30" s="59" t="n">
        <v>0.0541666666666667</v>
      </c>
      <c r="M30" s="31" t="s">
        <v>1317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customFormat="false" ht="22.5" hidden="false" customHeight="true" outlineLevel="0" collapsed="false">
      <c r="A31" s="77" t="n">
        <v>45957</v>
      </c>
      <c r="B31" s="1" t="n">
        <v>22</v>
      </c>
      <c r="C31" s="56" t="str">
        <f aca="false">IF(ISBLANK(A31), "--", PROPER(TEXT(A31, "dddd")))</f>
        <v>Monday</v>
      </c>
      <c r="D31" s="56" t="s">
        <v>145</v>
      </c>
      <c r="E31" s="56" t="s">
        <v>139</v>
      </c>
      <c r="F31" s="60" t="s">
        <v>1318</v>
      </c>
      <c r="G31" s="56" t="s">
        <v>19</v>
      </c>
      <c r="H31" s="56" t="s">
        <v>141</v>
      </c>
      <c r="I31" s="56" t="s">
        <v>21</v>
      </c>
      <c r="J31" s="57" t="n">
        <v>45957</v>
      </c>
      <c r="K31" s="58" t="n">
        <v>1</v>
      </c>
      <c r="L31" s="59" t="n">
        <v>0.0201388888888889</v>
      </c>
      <c r="M31" s="31" t="s">
        <v>1319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customFormat="false" ht="22.5" hidden="false" customHeight="true" outlineLevel="0" collapsed="false">
      <c r="A32" s="63" t="n">
        <v>45957</v>
      </c>
      <c r="B32" s="1" t="n">
        <v>22</v>
      </c>
      <c r="C32" s="56" t="str">
        <f aca="false">IF(ISBLANK(A32), "--", PROPER(TEXT(A32, "dddd")))</f>
        <v>Monday</v>
      </c>
      <c r="D32" s="56" t="s">
        <v>156</v>
      </c>
      <c r="E32" s="56" t="s">
        <v>17</v>
      </c>
      <c r="F32" s="60" t="s">
        <v>1320</v>
      </c>
      <c r="G32" s="56" t="s">
        <v>77</v>
      </c>
      <c r="H32" s="56" t="s">
        <v>449</v>
      </c>
      <c r="I32" s="56" t="s">
        <v>21</v>
      </c>
      <c r="J32" s="57" t="n">
        <v>45958</v>
      </c>
      <c r="K32" s="58" t="n">
        <v>1</v>
      </c>
      <c r="L32" s="59" t="n">
        <v>0.0416666666666667</v>
      </c>
      <c r="M32" s="31" t="s">
        <v>1321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customFormat="false" ht="22.5" hidden="false" customHeight="true" outlineLevel="0" collapsed="false">
      <c r="A33" s="63" t="n">
        <v>45959</v>
      </c>
      <c r="B33" s="1" t="n">
        <v>22</v>
      </c>
      <c r="C33" s="56" t="str">
        <f aca="false">IF(ISBLANK(A33), "--", PROPER(TEXT(A33, "dddd")))</f>
        <v>Wednesday</v>
      </c>
      <c r="D33" s="56" t="s">
        <v>134</v>
      </c>
      <c r="E33" s="56" t="s">
        <v>17</v>
      </c>
      <c r="F33" s="60" t="s">
        <v>1322</v>
      </c>
      <c r="G33" s="56" t="s">
        <v>19</v>
      </c>
      <c r="H33" s="56" t="s">
        <v>1310</v>
      </c>
      <c r="I33" s="56" t="s">
        <v>21</v>
      </c>
      <c r="J33" s="57" t="n">
        <v>45971</v>
      </c>
      <c r="K33" s="58" t="n">
        <v>1</v>
      </c>
      <c r="L33" s="59" t="n">
        <v>0.120833333333333</v>
      </c>
      <c r="M33" s="31" t="s">
        <v>1323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customFormat="false" ht="22.5" hidden="false" customHeight="true" outlineLevel="0" collapsed="false">
      <c r="A34" s="63" t="n">
        <v>45960</v>
      </c>
      <c r="B34" s="1" t="n">
        <v>22</v>
      </c>
      <c r="C34" s="56" t="str">
        <f aca="false">IF(ISBLANK(A34), "--", PROPER(TEXT(A34, "dddd")))</f>
        <v>Thursday</v>
      </c>
      <c r="D34" s="56" t="s">
        <v>156</v>
      </c>
      <c r="E34" s="56" t="s">
        <v>17</v>
      </c>
      <c r="F34" s="60" t="s">
        <v>1324</v>
      </c>
      <c r="G34" s="56" t="s">
        <v>48</v>
      </c>
      <c r="H34" s="56" t="s">
        <v>1024</v>
      </c>
      <c r="I34" s="56" t="s">
        <v>21</v>
      </c>
      <c r="J34" s="57" t="n">
        <v>45965</v>
      </c>
      <c r="K34" s="58" t="n">
        <v>2</v>
      </c>
      <c r="L34" s="59" t="n">
        <v>0.0888888888888889</v>
      </c>
      <c r="M34" s="31" t="s">
        <v>1325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customFormat="false" ht="22.5" hidden="false" customHeight="true" outlineLevel="0" collapsed="false">
      <c r="A35" s="63" t="n">
        <v>45961</v>
      </c>
      <c r="B35" s="1" t="n">
        <v>22</v>
      </c>
      <c r="C35" s="56" t="str">
        <f aca="false">IF(ISBLANK(A35), "--", PROPER(TEXT(A35, "dddd")))</f>
        <v>Friday</v>
      </c>
      <c r="D35" s="56" t="s">
        <v>196</v>
      </c>
      <c r="E35" s="56" t="s">
        <v>17</v>
      </c>
      <c r="F35" s="60" t="s">
        <v>1326</v>
      </c>
      <c r="G35" s="56" t="s">
        <v>19</v>
      </c>
      <c r="H35" s="56" t="s">
        <v>20</v>
      </c>
      <c r="I35" s="56" t="s">
        <v>21</v>
      </c>
      <c r="J35" s="57" t="n">
        <v>45965</v>
      </c>
      <c r="K35" s="58" t="n">
        <v>0.5</v>
      </c>
      <c r="L35" s="59" t="n">
        <v>0.0381944444444445</v>
      </c>
      <c r="M35" s="61" t="s">
        <v>1327</v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customFormat="false" ht="15.75" hidden="false" customHeight="false" outlineLevel="0" collapsed="false">
      <c r="A36" s="44"/>
      <c r="C36" s="44"/>
      <c r="D36" s="44"/>
      <c r="E36" s="44"/>
      <c r="F36" s="44"/>
      <c r="G36" s="44"/>
      <c r="H36" s="44"/>
      <c r="I36" s="44"/>
      <c r="J36" s="44"/>
      <c r="K36" s="46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customFormat="false" ht="15.75" hidden="false" customHeight="false" outlineLevel="0" collapsed="false">
      <c r="A37" s="44"/>
      <c r="C37" s="44"/>
      <c r="D37" s="44"/>
      <c r="E37" s="44"/>
      <c r="F37" s="44"/>
      <c r="G37" s="44"/>
      <c r="H37" s="44"/>
      <c r="I37" s="44"/>
      <c r="J37" s="44"/>
      <c r="K37" s="46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customFormat="false" ht="15.75" hidden="false" customHeight="false" outlineLevel="0" collapsed="false">
      <c r="A38" s="44"/>
      <c r="C38" s="44"/>
      <c r="D38" s="44"/>
      <c r="E38" s="44"/>
      <c r="F38" s="44"/>
      <c r="G38" s="44"/>
      <c r="H38" s="44"/>
      <c r="I38" s="44"/>
      <c r="J38" s="44"/>
      <c r="K38" s="46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customFormat="false" ht="15.75" hidden="false" customHeight="false" outlineLevel="0" collapsed="false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customFormat="false" ht="15.75" hidden="false" customHeight="false" outlineLevel="0" collapsed="false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6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customFormat="false" ht="15.75" hidden="false" customHeight="false" outlineLevel="0" collapsed="false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6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customFormat="false" ht="15.75" hidden="false" customHeight="false" outlineLevel="0" collapsed="false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customFormat="false" ht="15.75" hidden="false" customHeight="false" outlineLevel="0" collapsed="false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6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customFormat="false" ht="15.75" hidden="false" customHeight="false" outlineLevel="0" collapsed="false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6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customFormat="false" ht="15.75" hidden="false" customHeight="false" outlineLevel="0" collapsed="false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customFormat="false" ht="15.75" hidden="false" customHeight="false" outlineLevel="0" collapsed="false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6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customFormat="false" ht="15.75" hidden="false" customHeight="false" outlineLevel="0" collapsed="false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6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customFormat="false" ht="15.75" hidden="false" customHeight="false" outlineLevel="0" collapsed="false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customFormat="false" ht="15.75" hidden="false" customHeight="fals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6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customFormat="false" ht="15.75" hidden="false" customHeight="false" outlineLevel="0" collapsed="false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6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customFormat="false" ht="15.75" hidden="false" customHeight="false" outlineLevel="0" collapsed="false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6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customFormat="false" ht="15.75" hidden="false" customHeight="false" outlineLevel="0" collapsed="false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6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customFormat="false" ht="15.75" hidden="false" customHeight="false" outlineLevel="0" collapsed="false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6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customFormat="false" ht="15.75" hidden="false" customHeight="false" outlineLevel="0" collapsed="false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customFormat="false" ht="15.75" hidden="false" customHeight="false" outlineLevel="0" collapsed="false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6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customFormat="false" ht="15.75" hidden="false" customHeight="false" outlineLevel="0" collapsed="false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6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customFormat="false" ht="15.7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customFormat="false" ht="15.75" hidden="false" customHeight="false" outlineLevel="0" collapsed="false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customFormat="false" ht="15.75" hidden="false" customHeight="false" outlineLevel="0" collapsed="false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customFormat="false" ht="15.75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customFormat="false" ht="15.75" hidden="false" customHeight="false" outlineLevel="0" collapsed="false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customFormat="false" ht="15.7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customFormat="false" ht="15.7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customFormat="false" ht="15.75" hidden="false" customHeight="false" outlineLevel="0" collapsed="false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customFormat="false" ht="15.7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 customFormat="false" ht="15.7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</row>
    <row r="895" customFormat="false" ht="15.75" hidden="false" customHeight="false" outlineLevel="0" collapsed="false">
      <c r="B895" s="44"/>
      <c r="K895" s="46"/>
    </row>
    <row r="896" customFormat="false" ht="15.75" hidden="false" customHeight="false" outlineLevel="0" collapsed="false">
      <c r="B896" s="44"/>
      <c r="K896" s="46"/>
    </row>
    <row r="897" customFormat="false" ht="15.75" hidden="false" customHeight="false" outlineLevel="0" collapsed="false">
      <c r="B897" s="44"/>
      <c r="K897" s="46"/>
    </row>
    <row r="898" customFormat="false" ht="15.75" hidden="false" customHeight="false" outlineLevel="0" collapsed="false">
      <c r="B898" s="44"/>
      <c r="K898" s="46"/>
    </row>
    <row r="899" customFormat="false" ht="15.75" hidden="false" customHeight="false" outlineLevel="0" collapsed="false">
      <c r="B899" s="44"/>
      <c r="K899" s="46"/>
    </row>
    <row r="900" customFormat="false" ht="15.75" hidden="false" customHeight="false" outlineLevel="0" collapsed="false">
      <c r="B900" s="44"/>
      <c r="K900" s="46"/>
    </row>
    <row r="901" customFormat="false" ht="15.75" hidden="false" customHeight="false" outlineLevel="0" collapsed="false">
      <c r="B901" s="44"/>
      <c r="K901" s="46"/>
    </row>
    <row r="902" customFormat="false" ht="15.75" hidden="false" customHeight="false" outlineLevel="0" collapsed="false">
      <c r="B902" s="44"/>
      <c r="K902" s="46"/>
    </row>
    <row r="903" customFormat="false" ht="15.75" hidden="false" customHeight="false" outlineLevel="0" collapsed="false">
      <c r="B903" s="44"/>
      <c r="K903" s="46"/>
    </row>
    <row r="904" customFormat="false" ht="15.75" hidden="false" customHeight="false" outlineLevel="0" collapsed="false">
      <c r="B904" s="44"/>
      <c r="K904" s="46"/>
    </row>
    <row r="905" customFormat="false" ht="15.75" hidden="false" customHeight="false" outlineLevel="0" collapsed="false">
      <c r="B905" s="44"/>
      <c r="K905" s="46"/>
    </row>
    <row r="906" customFormat="false" ht="15.75" hidden="false" customHeight="false" outlineLevel="0" collapsed="false">
      <c r="B906" s="44"/>
      <c r="K906" s="46"/>
    </row>
    <row r="907" customFormat="false" ht="15.75" hidden="false" customHeight="false" outlineLevel="0" collapsed="false">
      <c r="B907" s="44"/>
      <c r="K907" s="46"/>
    </row>
    <row r="908" customFormat="false" ht="15.75" hidden="false" customHeight="false" outlineLevel="0" collapsed="false">
      <c r="B908" s="44"/>
      <c r="K908" s="46"/>
    </row>
    <row r="909" customFormat="false" ht="15.75" hidden="false" customHeight="false" outlineLevel="0" collapsed="false">
      <c r="B909" s="44"/>
      <c r="K909" s="46"/>
    </row>
    <row r="910" customFormat="false" ht="15.75" hidden="false" customHeight="false" outlineLevel="0" collapsed="false">
      <c r="B910" s="44"/>
      <c r="K910" s="46"/>
    </row>
    <row r="911" customFormat="false" ht="15.75" hidden="false" customHeight="false" outlineLevel="0" collapsed="false">
      <c r="B911" s="44"/>
      <c r="K911" s="46"/>
    </row>
    <row r="912" customFormat="false" ht="15.75" hidden="false" customHeight="false" outlineLevel="0" collapsed="false">
      <c r="B912" s="44"/>
      <c r="K912" s="46"/>
    </row>
    <row r="913" customFormat="false" ht="15.75" hidden="false" customHeight="false" outlineLevel="0" collapsed="false">
      <c r="B913" s="44"/>
      <c r="K913" s="46"/>
    </row>
    <row r="914" customFormat="false" ht="15.75" hidden="false" customHeight="false" outlineLevel="0" collapsed="false">
      <c r="B914" s="44"/>
      <c r="K914" s="46"/>
    </row>
    <row r="915" customFormat="false" ht="15.75" hidden="false" customHeight="false" outlineLevel="0" collapsed="false">
      <c r="B915" s="44"/>
      <c r="K915" s="46"/>
    </row>
    <row r="916" customFormat="false" ht="15.75" hidden="false" customHeight="false" outlineLevel="0" collapsed="false">
      <c r="B916" s="44"/>
      <c r="K916" s="46"/>
    </row>
    <row r="917" customFormat="false" ht="15.75" hidden="false" customHeight="false" outlineLevel="0" collapsed="false">
      <c r="B917" s="44"/>
      <c r="K917" s="46"/>
    </row>
    <row r="918" customFormat="false" ht="15.75" hidden="false" customHeight="false" outlineLevel="0" collapsed="false">
      <c r="B918" s="44"/>
      <c r="K918" s="46"/>
    </row>
    <row r="919" customFormat="false" ht="15.75" hidden="false" customHeight="false" outlineLevel="0" collapsed="false">
      <c r="B919" s="44"/>
      <c r="K919" s="46"/>
    </row>
    <row r="920" customFormat="false" ht="15.75" hidden="false" customHeight="false" outlineLevel="0" collapsed="false">
      <c r="B920" s="44"/>
      <c r="K920" s="46"/>
    </row>
    <row r="921" customFormat="false" ht="15.75" hidden="false" customHeight="false" outlineLevel="0" collapsed="false">
      <c r="B921" s="44"/>
      <c r="K921" s="46"/>
    </row>
    <row r="922" customFormat="false" ht="15.75" hidden="false" customHeight="false" outlineLevel="0" collapsed="false">
      <c r="B922" s="44"/>
      <c r="K922" s="46"/>
    </row>
    <row r="923" customFormat="false" ht="15.75" hidden="false" customHeight="false" outlineLevel="0" collapsed="false">
      <c r="B923" s="44"/>
      <c r="K923" s="46"/>
    </row>
    <row r="924" customFormat="false" ht="15.75" hidden="false" customHeight="false" outlineLevel="0" collapsed="false">
      <c r="B924" s="44"/>
      <c r="K924" s="46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true" outlineLevel="0" collapsed="false">
      <c r="B932" s="44"/>
    </row>
    <row r="933" customFormat="false" ht="15.75" hidden="false" customHeight="true" outlineLevel="0" collapsed="false">
      <c r="B933" s="44"/>
    </row>
    <row r="934" customFormat="false" ht="15.75" hidden="false" customHeight="true" outlineLevel="0" collapsed="false">
      <c r="B934" s="44"/>
    </row>
    <row r="935" customFormat="false" ht="15.75" hidden="false" customHeight="true" outlineLevel="0" collapsed="false">
      <c r="B935" s="44"/>
    </row>
    <row r="936" customFormat="false" ht="15.75" hidden="false" customHeight="true" outlineLevel="0" collapsed="false">
      <c r="B936" s="44"/>
    </row>
    <row r="937" customFormat="false" ht="15.75" hidden="false" customHeight="true" outlineLevel="0" collapsed="false">
      <c r="B937" s="44"/>
    </row>
    <row r="938" customFormat="false" ht="15.75" hidden="false" customHeight="true" outlineLevel="0" collapsed="false">
      <c r="B938" s="44"/>
    </row>
    <row r="939" customFormat="false" ht="15.75" hidden="false" customHeight="true" outlineLevel="0" collapsed="false">
      <c r="B939" s="44"/>
    </row>
    <row r="940" customFormat="false" ht="15.75" hidden="false" customHeight="true" outlineLevel="0" collapsed="false">
      <c r="B940" s="44"/>
    </row>
    <row r="941" customFormat="false" ht="15.75" hidden="false" customHeight="true" outlineLevel="0" collapsed="false">
      <c r="B941" s="44"/>
    </row>
    <row r="942" customFormat="false" ht="15.75" hidden="false" customHeight="true" outlineLevel="0" collapsed="false">
      <c r="B942" s="44"/>
    </row>
    <row r="943" customFormat="false" ht="15.75" hidden="false" customHeight="true" outlineLevel="0" collapsed="false">
      <c r="B943" s="44"/>
    </row>
    <row r="944" customFormat="false" ht="15.75" hidden="false" customHeight="true" outlineLevel="0" collapsed="false">
      <c r="B944" s="44"/>
    </row>
    <row r="945" customFormat="false" ht="15.75" hidden="false" customHeight="true" outlineLevel="0" collapsed="false">
      <c r="B945" s="44"/>
    </row>
    <row r="946" customFormat="false" ht="15.75" hidden="false" customHeight="true" outlineLevel="0" collapsed="false">
      <c r="B946" s="44"/>
    </row>
    <row r="947" customFormat="false" ht="15.75" hidden="false" customHeight="true" outlineLevel="0" collapsed="false">
      <c r="B947" s="44"/>
    </row>
    <row r="948" customFormat="false" ht="15.75" hidden="false" customHeight="true" outlineLevel="0" collapsed="false">
      <c r="B948" s="44"/>
    </row>
    <row r="949" customFormat="false" ht="15.75" hidden="false" customHeight="true" outlineLevel="0" collapsed="false">
      <c r="B949" s="44"/>
    </row>
    <row r="950" customFormat="false" ht="15.75" hidden="false" customHeight="true" outlineLevel="0" collapsed="false">
      <c r="B950" s="44"/>
    </row>
    <row r="951" customFormat="false" ht="15.75" hidden="false" customHeight="true" outlineLevel="0" collapsed="false">
      <c r="B951" s="44"/>
    </row>
    <row r="952" customFormat="false" ht="15.75" hidden="false" customHeight="true" outlineLevel="0" collapsed="false">
      <c r="B952" s="44"/>
    </row>
    <row r="953" customFormat="false" ht="15.75" hidden="false" customHeight="true" outlineLevel="0" collapsed="false">
      <c r="B953" s="44"/>
    </row>
    <row r="954" customFormat="false" ht="15.75" hidden="false" customHeight="true" outlineLevel="0" collapsed="false">
      <c r="B954" s="44"/>
    </row>
    <row r="955" customFormat="false" ht="15.75" hidden="false" customHeight="true" outlineLevel="0" collapsed="false">
      <c r="B955" s="44"/>
    </row>
    <row r="956" customFormat="false" ht="15.75" hidden="false" customHeight="true" outlineLevel="0" collapsed="false">
      <c r="B956" s="44"/>
    </row>
    <row r="957" customFormat="false" ht="15.75" hidden="false" customHeight="true" outlineLevel="0" collapsed="false">
      <c r="B957" s="44"/>
    </row>
    <row r="958" customFormat="false" ht="15.75" hidden="false" customHeight="true" outlineLevel="0" collapsed="false">
      <c r="B958" s="44"/>
    </row>
    <row r="959" customFormat="false" ht="15.75" hidden="false" customHeight="true" outlineLevel="0" collapsed="false">
      <c r="B959" s="44"/>
    </row>
    <row r="960" customFormat="false" ht="15.75" hidden="false" customHeight="true" outlineLevel="0" collapsed="false">
      <c r="B960" s="44"/>
    </row>
    <row r="961" customFormat="false" ht="15.75" hidden="false" customHeight="true" outlineLevel="0" collapsed="false">
      <c r="B961" s="44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9">
    <dataValidation allowBlank="true" errorStyle="stop" operator="between" showDropDown="true" showErrorMessage="false" showInputMessage="false" sqref="F2:F35" type="none">
      <formula1>0</formula1>
      <formula2>0</formula2>
    </dataValidation>
    <dataValidation allowBlank="true" errorStyle="stop" operator="between" showDropDown="false" showErrorMessage="true" showInputMessage="false" sqref="C2:C35" type="list">
      <formula1>"Martes,Miércoles,Jueves,Viernes,Lunes,Domingo,--,Sabado "</formula1>
      <formula2>0</formula2>
    </dataValidation>
    <dataValidation allowBlank="true" errorStyle="stop" operator="between" showDropDown="false" showErrorMessage="true" showInputMessage="false" sqref="G2:G35" type="list">
      <formula1>"Alta,Normal,Urgente,Baja,--"</formula1>
      <formula2>0</formula2>
    </dataValidation>
    <dataValidation allowBlank="true" errorStyle="stop" operator="between" showDropDown="true" showErrorMessage="false" showInputMessage="false" sqref="A2:A35 J2:J35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I2:I35" type="list">
      <formula1>"Closed,Ready for testing ,Open,Under review,Partially Done,In progress,Approved,--,Needs more work,Deploy to production,Code Approved"</formula1>
      <formula2>0</formula2>
    </dataValidation>
    <dataValidation allowBlank="true" errorStyle="stop" operator="between" showDropDown="true" showErrorMessage="false" showInputMessage="false" sqref="K2:K35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E2:E35" type="list">
      <formula1>"Ajustes,Soporte,Mejoras,Corrección,Configuraciones,Revisión,--,Pagina Web,IT,Error,Blue,SOLICITUD ,PENDIENTE,Cotización ,Production "</formula1>
      <formula2>0</formula2>
    </dataValidation>
    <dataValidation allowBlank="true" errorStyle="stop" operator="between" showDropDown="false" showErrorMessage="false" showInputMessage="false" sqref="D2:D35" type="list">
      <formula1>"Faktur,Backpro,Zuckerman,Facialart,Dejusticia,Happycinamon,Nulab,Ncarb,ECOS,IDK,BMS,--,Swapps,WWilson,Tabby,Smart Web Apps,Comfinagro,IMC,Geosig,Soluciones Cientificas,ESCR"</formula1>
      <formula2>0</formula2>
    </dataValidation>
    <dataValidation allowBlank="true" errorStyle="stop" operator="between" showDropDown="false" showErrorMessage="false" showInputMessage="false" sqref="H2:H35" type="list">
      <formula1>"Iván,Andrés,José,Héctor,Mattews,--,Carlos M,Johan,Fernando,Elkin ,Felipe,Camilo "</formula1>
      <formula2>0</formula2>
    </dataValidation>
  </dataValidations>
  <hyperlinks>
    <hyperlink ref="M2" r:id="rId2" display="https://app.clickup.com/t/86b6xc8fr"/>
    <hyperlink ref="M3" r:id="rId3" display="https://app.clickup.com/t/86b6xcn8m"/>
    <hyperlink ref="M4" r:id="rId4" display="https://app.clickup.com/t/86b6xed6u"/>
    <hyperlink ref="M5" r:id="rId5" display="https://app.clickup.com/t/86b6xjhn8"/>
    <hyperlink ref="M6" r:id="rId6" display="https://app.clickup.com/t/86b6xxpqg"/>
    <hyperlink ref="M7" r:id="rId7" display="https://app.clickup.com/t/86b6y54tv"/>
    <hyperlink ref="M8" r:id="rId8" display="https://app.clickup.com/t/86b6yfrad"/>
    <hyperlink ref="M9" r:id="rId9" display="https://app.clickup.com/t/86b6z4mg2"/>
    <hyperlink ref="M10" r:id="rId10" display="https://app.clickup.com/t/86b6zbyzy"/>
    <hyperlink ref="M11" r:id="rId11" display="https://app.clickup.com/t/86b70amtk"/>
    <hyperlink ref="M12" r:id="rId12" display="https://app.clickup.com/t/86b70cezp"/>
    <hyperlink ref="M13" r:id="rId13" display="https://app.clickup.com/t/86b70mkng"/>
    <hyperlink ref="M14" r:id="rId14" display="https://app.clickup.com/t/86b70pedc"/>
    <hyperlink ref="M15" r:id="rId15" display="https://app.clickup.com/t/86b72rya6"/>
    <hyperlink ref="M16" r:id="rId16" display="https://app.clickup.com/t/86b732cat"/>
    <hyperlink ref="M17" r:id="rId17" display="https://app.clickup.com/t/86b7333dr"/>
    <hyperlink ref="M18" r:id="rId18" display="https://app.clickup.com/t/86b73ky71"/>
    <hyperlink ref="M19" r:id="rId19" display="https://app.clickup.com/t/86b7470vn"/>
    <hyperlink ref="M20" r:id="rId20" display="https://app.clickup.com/t/86b74zqnw"/>
    <hyperlink ref="M21" r:id="rId21" display="https://app.clickup.com/t/86b75azn0"/>
    <hyperlink ref="M22" r:id="rId22" display="https://app.clickup.com/t/454056/ZL-1622"/>
    <hyperlink ref="M23" r:id="rId23" display="https://app.clickup.com/t/86b75r490"/>
    <hyperlink ref="M24" r:id="rId24" display="https://app.clickup.com/t/86b75uq73"/>
    <hyperlink ref="M25" r:id="rId25" display="https://app.clickup.com/t/86b7603we"/>
    <hyperlink ref="M26" r:id="rId26" display="https://app.clickup.com/t/86b75wcja"/>
    <hyperlink ref="M27" r:id="rId27" display="https://app.clickup.com/t/86b765dcg"/>
    <hyperlink ref="M28" r:id="rId28" display="https://app.clickup.com/t/86b76hcmy"/>
    <hyperlink ref="M29" r:id="rId29" display="https://app.clickup.com/t/86b76p0e5"/>
    <hyperlink ref="M30" r:id="rId30" display="https://app.clickup.com/t/86b775w6r"/>
    <hyperlink ref="M31" r:id="rId31" display="https://app.clickup.com/t/86b785dq0"/>
    <hyperlink ref="M32" r:id="rId32" display="https://app.clickup.com/t/86b78cd3k"/>
    <hyperlink ref="M33" r:id="rId33" display="https://app.clickup.com/t/86b7944rj"/>
    <hyperlink ref="M34" r:id="rId34" display="https://app.clickup.com/t/86b79mp69"/>
    <hyperlink ref="M35" r:id="rId35" display="https://app.clickup.com/t/86b79z4u9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36"/>
  <tableParts>
    <tablePart r:id="rId3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9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K37" activeCellId="0" sqref="K3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5.38"/>
    <col collapsed="false" customWidth="true" hidden="false" outlineLevel="0" max="6" min="6" style="1" width="61.38"/>
    <col collapsed="false" customWidth="true" hidden="false" outlineLevel="0" max="8" min="8" style="1" width="14.25"/>
    <col collapsed="false" customWidth="true" hidden="false" outlineLevel="0" max="10" min="10" style="1" width="13.75"/>
    <col collapsed="false" customWidth="true" hidden="false" outlineLevel="0" max="11" min="11" style="1" width="7.5"/>
    <col collapsed="false" customWidth="true" hidden="false" outlineLevel="0" max="13" min="13" style="1" width="32.63"/>
  </cols>
  <sheetData>
    <row r="1" customFormat="false" ht="22.5" hidden="false" customHeight="true" outlineLevel="0" collapsed="false">
      <c r="A1" s="50" t="s">
        <v>842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0" t="s">
        <v>7</v>
      </c>
      <c r="I1" s="51" t="s">
        <v>8</v>
      </c>
      <c r="J1" s="50" t="s">
        <v>9</v>
      </c>
      <c r="K1" s="52" t="s">
        <v>10</v>
      </c>
      <c r="L1" s="50" t="s">
        <v>11</v>
      </c>
      <c r="M1" s="51" t="s">
        <v>12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customFormat="false" ht="22.5" hidden="false" customHeight="true" outlineLevel="0" collapsed="false">
      <c r="A2" s="63" t="n">
        <v>45965</v>
      </c>
      <c r="B2" s="1" t="n">
        <v>22</v>
      </c>
      <c r="C2" s="56" t="str">
        <f aca="false">IF(ISBLANK(A2), "--", PROPER(TEXT(A2, "dddd")))</f>
        <v>Tuesday</v>
      </c>
      <c r="D2" s="56" t="s">
        <v>130</v>
      </c>
      <c r="E2" s="56" t="s">
        <v>17</v>
      </c>
      <c r="F2" s="60" t="s">
        <v>1328</v>
      </c>
      <c r="G2" s="56" t="s">
        <v>48</v>
      </c>
      <c r="H2" s="56" t="s">
        <v>449</v>
      </c>
      <c r="I2" s="56" t="s">
        <v>21</v>
      </c>
      <c r="J2" s="57" t="n">
        <v>45967</v>
      </c>
      <c r="K2" s="58" t="n">
        <v>2</v>
      </c>
      <c r="L2" s="59" t="n">
        <v>0.179166666666667</v>
      </c>
      <c r="M2" s="61" t="s">
        <v>1329</v>
      </c>
    </row>
    <row r="3" customFormat="false" ht="22.5" hidden="false" customHeight="true" outlineLevel="0" collapsed="false">
      <c r="A3" s="63" t="n">
        <v>45967</v>
      </c>
      <c r="B3" s="1" t="n">
        <v>22</v>
      </c>
      <c r="C3" s="56" t="str">
        <f aca="false">IF(ISBLANK(A3), "--", PROPER(TEXT(A3, "dddd")))</f>
        <v>Thursday</v>
      </c>
      <c r="D3" s="56" t="s">
        <v>156</v>
      </c>
      <c r="E3" s="56" t="s">
        <v>17</v>
      </c>
      <c r="F3" s="60" t="s">
        <v>1330</v>
      </c>
      <c r="G3" s="56" t="s">
        <v>19</v>
      </c>
      <c r="H3" s="56" t="s">
        <v>1310</v>
      </c>
      <c r="I3" s="56" t="s">
        <v>21</v>
      </c>
      <c r="J3" s="57" t="n">
        <v>45968</v>
      </c>
      <c r="K3" s="58" t="n">
        <v>2</v>
      </c>
      <c r="L3" s="59" t="n">
        <v>0.172916666666667</v>
      </c>
      <c r="M3" s="31" t="s">
        <v>1331</v>
      </c>
    </row>
    <row r="4" customFormat="false" ht="22.5" hidden="false" customHeight="true" outlineLevel="0" collapsed="false">
      <c r="A4" s="63" t="n">
        <v>45967</v>
      </c>
      <c r="B4" s="1" t="n">
        <v>22</v>
      </c>
      <c r="C4" s="56" t="str">
        <f aca="false">IF(ISBLANK(A4), "--", PROPER(TEXT(A4, "dddd")))</f>
        <v>Thursday</v>
      </c>
      <c r="D4" s="56" t="s">
        <v>156</v>
      </c>
      <c r="E4" s="56" t="s">
        <v>17</v>
      </c>
      <c r="F4" s="60" t="s">
        <v>1316</v>
      </c>
      <c r="G4" s="56" t="s">
        <v>19</v>
      </c>
      <c r="H4" s="56" t="s">
        <v>20</v>
      </c>
      <c r="I4" s="56" t="s">
        <v>21</v>
      </c>
      <c r="J4" s="57" t="n">
        <v>45971</v>
      </c>
      <c r="K4" s="58" t="n">
        <v>1</v>
      </c>
      <c r="L4" s="59" t="n">
        <v>0.15</v>
      </c>
      <c r="M4" s="31" t="s">
        <v>1317</v>
      </c>
    </row>
    <row r="5" customFormat="false" ht="22.5" hidden="false" customHeight="true" outlineLevel="0" collapsed="false">
      <c r="A5" s="63" t="n">
        <v>45967</v>
      </c>
      <c r="B5" s="1" t="n">
        <v>22</v>
      </c>
      <c r="C5" s="56" t="str">
        <f aca="false">IF(ISBLANK(A5), "--", PROPER(TEXT(A5, "dddd")))</f>
        <v>Thursday</v>
      </c>
      <c r="D5" s="56" t="s">
        <v>85</v>
      </c>
      <c r="E5" s="56" t="s">
        <v>17</v>
      </c>
      <c r="F5" s="60" t="s">
        <v>1332</v>
      </c>
      <c r="G5" s="56" t="s">
        <v>48</v>
      </c>
      <c r="H5" s="56" t="s">
        <v>1024</v>
      </c>
      <c r="I5" s="56" t="s">
        <v>21</v>
      </c>
      <c r="J5" s="57" t="n">
        <v>45971</v>
      </c>
      <c r="K5" s="58" t="n">
        <v>2</v>
      </c>
      <c r="L5" s="59" t="n">
        <v>0.16875</v>
      </c>
      <c r="M5" s="31" t="s">
        <v>1333</v>
      </c>
    </row>
    <row r="6" customFormat="false" ht="22.5" hidden="false" customHeight="true" outlineLevel="0" collapsed="false">
      <c r="A6" s="63" t="n">
        <v>45966</v>
      </c>
      <c r="B6" s="1" t="n">
        <v>22</v>
      </c>
      <c r="C6" s="56" t="str">
        <f aca="false">IF(ISBLANK(A6), "--", PROPER(TEXT(A6, "dddd")))</f>
        <v>Wednesday</v>
      </c>
      <c r="D6" s="56" t="s">
        <v>1334</v>
      </c>
      <c r="E6" s="56" t="s">
        <v>17</v>
      </c>
      <c r="F6" s="60" t="s">
        <v>1335</v>
      </c>
      <c r="G6" s="56" t="s">
        <v>19</v>
      </c>
      <c r="H6" s="56" t="s">
        <v>449</v>
      </c>
      <c r="I6" s="56" t="s">
        <v>21</v>
      </c>
      <c r="J6" s="57" t="n">
        <v>45966</v>
      </c>
      <c r="K6" s="58" t="n">
        <v>1</v>
      </c>
      <c r="L6" s="59" t="n">
        <v>0.0236111111111111</v>
      </c>
      <c r="M6" s="31" t="s">
        <v>1336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customFormat="false" ht="22.5" hidden="false" customHeight="true" outlineLevel="0" collapsed="false">
      <c r="A7" s="63" t="n">
        <v>45967</v>
      </c>
      <c r="B7" s="1" t="n">
        <v>22</v>
      </c>
      <c r="C7" s="56" t="str">
        <f aca="false">IF(ISBLANK(A7), "--", PROPER(TEXT(A7, "dddd")))</f>
        <v>Thursday</v>
      </c>
      <c r="D7" s="56" t="s">
        <v>1334</v>
      </c>
      <c r="E7" s="56" t="s">
        <v>17</v>
      </c>
      <c r="F7" s="60" t="s">
        <v>1337</v>
      </c>
      <c r="G7" s="56" t="s">
        <v>19</v>
      </c>
      <c r="H7" s="56" t="s">
        <v>449</v>
      </c>
      <c r="I7" s="56" t="s">
        <v>21</v>
      </c>
      <c r="J7" s="63" t="n">
        <v>45968</v>
      </c>
      <c r="K7" s="58" t="n">
        <v>1</v>
      </c>
      <c r="L7" s="59" t="n">
        <v>0.0819444444444444</v>
      </c>
      <c r="M7" s="31" t="s">
        <v>1338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customFormat="false" ht="22.5" hidden="false" customHeight="true" outlineLevel="0" collapsed="false">
      <c r="A8" s="63" t="n">
        <v>45968</v>
      </c>
      <c r="B8" s="1" t="n">
        <v>22</v>
      </c>
      <c r="C8" s="56" t="str">
        <f aca="false">IF(ISBLANK(A8), "--", PROPER(TEXT(A8, "dddd")))</f>
        <v>Friday</v>
      </c>
      <c r="D8" s="56" t="s">
        <v>1334</v>
      </c>
      <c r="E8" s="56" t="s">
        <v>17</v>
      </c>
      <c r="F8" s="60" t="s">
        <v>1339</v>
      </c>
      <c r="G8" s="56" t="s">
        <v>19</v>
      </c>
      <c r="H8" s="56" t="s">
        <v>449</v>
      </c>
      <c r="I8" s="56" t="s">
        <v>21</v>
      </c>
      <c r="J8" s="63" t="n">
        <v>45968</v>
      </c>
      <c r="K8" s="58" t="n">
        <v>2</v>
      </c>
      <c r="L8" s="59" t="n">
        <v>0.0472222222222222</v>
      </c>
      <c r="M8" s="31" t="s">
        <v>1340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customFormat="false" ht="22.5" hidden="false" customHeight="true" outlineLevel="0" collapsed="false">
      <c r="A9" s="63" t="n">
        <v>45968</v>
      </c>
      <c r="B9" s="1" t="n">
        <v>22</v>
      </c>
      <c r="C9" s="56" t="str">
        <f aca="false">IF(ISBLANK(A9), "--", PROPER(TEXT(A9, "dddd")))</f>
        <v>Friday</v>
      </c>
      <c r="D9" s="56" t="s">
        <v>156</v>
      </c>
      <c r="E9" s="56" t="s">
        <v>17</v>
      </c>
      <c r="F9" s="60" t="s">
        <v>1341</v>
      </c>
      <c r="G9" s="56" t="s">
        <v>19</v>
      </c>
      <c r="H9" s="56" t="s">
        <v>449</v>
      </c>
      <c r="I9" s="56" t="s">
        <v>21</v>
      </c>
      <c r="J9" s="63" t="n">
        <v>45968</v>
      </c>
      <c r="K9" s="58" t="n">
        <v>2</v>
      </c>
      <c r="L9" s="59" t="n">
        <v>0.0555555555555556</v>
      </c>
      <c r="M9" s="61" t="s">
        <v>1342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customFormat="false" ht="22.5" hidden="false" customHeight="true" outlineLevel="0" collapsed="false">
      <c r="A10" s="63" t="n">
        <v>45968</v>
      </c>
      <c r="B10" s="1" t="n">
        <v>22</v>
      </c>
      <c r="C10" s="56" t="str">
        <f aca="false">IF(ISBLANK(A10), "--", PROPER(TEXT(A10, "dddd")))</f>
        <v>Friday</v>
      </c>
      <c r="D10" s="56" t="s">
        <v>85</v>
      </c>
      <c r="E10" s="56" t="s">
        <v>17</v>
      </c>
      <c r="F10" s="60" t="s">
        <v>1343</v>
      </c>
      <c r="G10" s="56" t="s">
        <v>48</v>
      </c>
      <c r="H10" s="56" t="s">
        <v>141</v>
      </c>
      <c r="I10" s="56" t="s">
        <v>350</v>
      </c>
      <c r="J10" s="63" t="n">
        <v>45971</v>
      </c>
      <c r="K10" s="58" t="n">
        <v>0.5</v>
      </c>
      <c r="L10" s="59" t="n">
        <v>0.00694444444444444</v>
      </c>
      <c r="M10" s="61" t="s">
        <v>1344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customFormat="false" ht="22.5" hidden="false" customHeight="true" outlineLevel="0" collapsed="false">
      <c r="A11" s="55" t="n">
        <v>45971</v>
      </c>
      <c r="B11" s="1" t="n">
        <v>23</v>
      </c>
      <c r="C11" s="56" t="str">
        <f aca="false">IF(ISBLANK(A11), "--", PROPER(TEXT(A11, "dddd")))</f>
        <v>Monday</v>
      </c>
      <c r="D11" s="56" t="s">
        <v>167</v>
      </c>
      <c r="E11" s="56" t="s">
        <v>17</v>
      </c>
      <c r="F11" s="60" t="s">
        <v>1345</v>
      </c>
      <c r="G11" s="56" t="s">
        <v>19</v>
      </c>
      <c r="H11" s="56" t="s">
        <v>449</v>
      </c>
      <c r="I11" s="56" t="s">
        <v>21</v>
      </c>
      <c r="J11" s="63" t="n">
        <v>45971</v>
      </c>
      <c r="K11" s="58" t="n">
        <v>2</v>
      </c>
      <c r="L11" s="59" t="n">
        <v>0.121527777777778</v>
      </c>
      <c r="M11" s="61" t="s">
        <v>1346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customFormat="false" ht="22.5" hidden="false" customHeight="true" outlineLevel="0" collapsed="false">
      <c r="A12" s="63" t="n">
        <v>45971</v>
      </c>
      <c r="B12" s="1" t="n">
        <v>23</v>
      </c>
      <c r="C12" s="56" t="str">
        <f aca="false">IF(ISBLANK(A12), "--", PROPER(TEXT(A12, "dddd")))</f>
        <v>Monday</v>
      </c>
      <c r="D12" s="56" t="s">
        <v>130</v>
      </c>
      <c r="E12" s="56" t="s">
        <v>17</v>
      </c>
      <c r="F12" s="60" t="s">
        <v>1347</v>
      </c>
      <c r="G12" s="56" t="s">
        <v>19</v>
      </c>
      <c r="H12" s="56" t="s">
        <v>1024</v>
      </c>
      <c r="I12" s="56" t="s">
        <v>350</v>
      </c>
      <c r="J12" s="63" t="n">
        <v>45979</v>
      </c>
      <c r="K12" s="58" t="n">
        <v>1</v>
      </c>
      <c r="L12" s="59" t="n">
        <v>0.15</v>
      </c>
      <c r="M12" s="61" t="s">
        <v>1348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customFormat="false" ht="22.5" hidden="false" customHeight="true" outlineLevel="0" collapsed="false">
      <c r="A13" s="63" t="n">
        <v>45972</v>
      </c>
      <c r="B13" s="1" t="n">
        <v>23</v>
      </c>
      <c r="C13" s="56" t="str">
        <f aca="false">IF(ISBLANK(A13), "--", PROPER(TEXT(A13, "dddd")))</f>
        <v>Tuesday</v>
      </c>
      <c r="D13" s="56" t="s">
        <v>167</v>
      </c>
      <c r="E13" s="56" t="s">
        <v>17</v>
      </c>
      <c r="F13" s="60" t="s">
        <v>1349</v>
      </c>
      <c r="G13" s="56" t="s">
        <v>48</v>
      </c>
      <c r="H13" s="56" t="s">
        <v>1310</v>
      </c>
      <c r="I13" s="56" t="s">
        <v>21</v>
      </c>
      <c r="J13" s="57" t="n">
        <v>45979</v>
      </c>
      <c r="K13" s="58" t="n">
        <v>2</v>
      </c>
      <c r="L13" s="59" t="n">
        <v>0.1875</v>
      </c>
      <c r="M13" s="31" t="s">
        <v>1350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customFormat="false" ht="22.5" hidden="false" customHeight="true" outlineLevel="0" collapsed="false">
      <c r="A14" s="63" t="n">
        <v>45972</v>
      </c>
      <c r="B14" s="1" t="n">
        <v>23</v>
      </c>
      <c r="C14" s="56" t="str">
        <f aca="false">IF(ISBLANK(A14), "--", PROPER(TEXT(A14, "dddd")))</f>
        <v>Tuesday</v>
      </c>
      <c r="D14" s="56" t="s">
        <v>156</v>
      </c>
      <c r="E14" s="56" t="s">
        <v>17</v>
      </c>
      <c r="F14" s="60" t="s">
        <v>1351</v>
      </c>
      <c r="G14" s="56" t="s">
        <v>48</v>
      </c>
      <c r="H14" s="56" t="s">
        <v>449</v>
      </c>
      <c r="I14" s="56" t="s">
        <v>375</v>
      </c>
      <c r="J14" s="57" t="n">
        <v>45980</v>
      </c>
      <c r="K14" s="58" t="n">
        <v>2</v>
      </c>
      <c r="L14" s="59" t="n">
        <v>0.0895833333333333</v>
      </c>
      <c r="M14" s="31" t="s">
        <v>1352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customFormat="false" ht="22.5" hidden="false" customHeight="true" outlineLevel="0" collapsed="false">
      <c r="A15" s="63" t="n">
        <v>45972</v>
      </c>
      <c r="B15" s="1" t="n">
        <v>23</v>
      </c>
      <c r="C15" s="56" t="str">
        <f aca="false">IF(ISBLANK(A15), "--", PROPER(TEXT(A15, "dddd")))</f>
        <v>Tuesday</v>
      </c>
      <c r="D15" s="56" t="s">
        <v>16</v>
      </c>
      <c r="E15" s="56" t="s">
        <v>17</v>
      </c>
      <c r="F15" s="60" t="s">
        <v>1353</v>
      </c>
      <c r="G15" s="56" t="s">
        <v>77</v>
      </c>
      <c r="H15" s="56" t="s">
        <v>1310</v>
      </c>
      <c r="I15" s="56" t="s">
        <v>375</v>
      </c>
      <c r="J15" s="57" t="n">
        <v>45979</v>
      </c>
      <c r="K15" s="58" t="n">
        <v>2</v>
      </c>
      <c r="L15" s="59" t="n">
        <v>0.394444444444444</v>
      </c>
      <c r="M15" s="31" t="s">
        <v>1354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customFormat="false" ht="22.5" hidden="false" customHeight="true" outlineLevel="0" collapsed="false">
      <c r="A16" s="63" t="n">
        <v>45972</v>
      </c>
      <c r="B16" s="1" t="n">
        <v>23</v>
      </c>
      <c r="C16" s="56" t="str">
        <f aca="false">IF(ISBLANK(A16), "--", PROPER(TEXT(A16, "dddd")))</f>
        <v>Tuesday</v>
      </c>
      <c r="D16" s="56" t="s">
        <v>145</v>
      </c>
      <c r="E16" s="56" t="s">
        <v>17</v>
      </c>
      <c r="F16" s="60" t="s">
        <v>1355</v>
      </c>
      <c r="G16" s="56" t="s">
        <v>48</v>
      </c>
      <c r="H16" s="56" t="s">
        <v>449</v>
      </c>
      <c r="I16" s="56" t="s">
        <v>21</v>
      </c>
      <c r="J16" s="57" t="n">
        <v>45982</v>
      </c>
      <c r="K16" s="58" t="n">
        <v>0.5</v>
      </c>
      <c r="L16" s="59" t="n">
        <v>0.0625</v>
      </c>
      <c r="M16" s="31" t="s">
        <v>1356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customFormat="false" ht="22.5" hidden="false" customHeight="true" outlineLevel="0" collapsed="false">
      <c r="A17" s="63" t="n">
        <v>45972</v>
      </c>
      <c r="B17" s="1" t="n">
        <v>23</v>
      </c>
      <c r="C17" s="56" t="str">
        <f aca="false">IF(ISBLANK(A17), "--", PROPER(TEXT(A17, "dddd")))</f>
        <v>Tuesday</v>
      </c>
      <c r="D17" s="56" t="s">
        <v>1334</v>
      </c>
      <c r="E17" s="56" t="s">
        <v>17</v>
      </c>
      <c r="F17" s="60" t="s">
        <v>1357</v>
      </c>
      <c r="G17" s="56" t="s">
        <v>48</v>
      </c>
      <c r="H17" s="56" t="s">
        <v>449</v>
      </c>
      <c r="I17" s="56" t="s">
        <v>314</v>
      </c>
      <c r="J17" s="57"/>
      <c r="K17" s="58"/>
      <c r="L17" s="59"/>
      <c r="M17" s="31" t="s">
        <v>1358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customFormat="false" ht="22.5" hidden="false" customHeight="true" outlineLevel="0" collapsed="false">
      <c r="A18" s="63" t="n">
        <v>45972</v>
      </c>
      <c r="B18" s="1" t="n">
        <v>23</v>
      </c>
      <c r="C18" s="56" t="str">
        <f aca="false">IF(ISBLANK(A18), "--", PROPER(TEXT(A18, "dddd")))</f>
        <v>Tuesday</v>
      </c>
      <c r="D18" s="56" t="s">
        <v>1334</v>
      </c>
      <c r="E18" s="56" t="s">
        <v>17</v>
      </c>
      <c r="F18" s="60" t="s">
        <v>1359</v>
      </c>
      <c r="G18" s="56" t="s">
        <v>48</v>
      </c>
      <c r="H18" s="56" t="s">
        <v>449</v>
      </c>
      <c r="I18" s="56" t="s">
        <v>21</v>
      </c>
      <c r="J18" s="57" t="n">
        <v>45974</v>
      </c>
      <c r="K18" s="58" t="n">
        <v>1</v>
      </c>
      <c r="L18" s="59" t="n">
        <v>0.0347222222222222</v>
      </c>
      <c r="M18" s="31" t="s">
        <v>1360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customFormat="false" ht="22.5" hidden="false" customHeight="true" outlineLevel="0" collapsed="false">
      <c r="A19" s="63" t="n">
        <v>45973</v>
      </c>
      <c r="B19" s="1" t="n">
        <v>23</v>
      </c>
      <c r="C19" s="56" t="str">
        <f aca="false">IF(ISBLANK(A19), "--", PROPER(TEXT(A19, "dddd")))</f>
        <v>Wednesday</v>
      </c>
      <c r="D19" s="56" t="s">
        <v>134</v>
      </c>
      <c r="E19" s="56" t="s">
        <v>17</v>
      </c>
      <c r="F19" s="60" t="s">
        <v>1361</v>
      </c>
      <c r="G19" s="56" t="s">
        <v>48</v>
      </c>
      <c r="H19" s="56" t="s">
        <v>449</v>
      </c>
      <c r="I19" s="56" t="s">
        <v>21</v>
      </c>
      <c r="J19" s="57" t="n">
        <v>45973</v>
      </c>
      <c r="K19" s="58" t="n">
        <v>1</v>
      </c>
      <c r="L19" s="59" t="n">
        <v>0.0375</v>
      </c>
      <c r="M19" s="61" t="s">
        <v>1362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customFormat="false" ht="22.5" hidden="false" customHeight="true" outlineLevel="0" collapsed="false">
      <c r="A20" s="63" t="n">
        <v>45973</v>
      </c>
      <c r="B20" s="1" t="n">
        <v>23</v>
      </c>
      <c r="C20" s="56" t="str">
        <f aca="false">IF(ISBLANK(A20), "--", PROPER(TEXT(A20, "dddd")))</f>
        <v>Wednesday</v>
      </c>
      <c r="D20" s="56" t="s">
        <v>130</v>
      </c>
      <c r="E20" s="56" t="s">
        <v>17</v>
      </c>
      <c r="F20" s="60" t="s">
        <v>1363</v>
      </c>
      <c r="G20" s="56" t="s">
        <v>19</v>
      </c>
      <c r="H20" s="56" t="s">
        <v>449</v>
      </c>
      <c r="I20" s="56" t="s">
        <v>254</v>
      </c>
      <c r="J20" s="57"/>
      <c r="K20" s="58" t="n">
        <v>3</v>
      </c>
      <c r="L20" s="59" t="n">
        <v>0.181944444444444</v>
      </c>
      <c r="M20" s="61" t="s">
        <v>1364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customFormat="false" ht="22.5" hidden="false" customHeight="true" outlineLevel="0" collapsed="false">
      <c r="A21" s="63" t="n">
        <v>45973</v>
      </c>
      <c r="B21" s="1" t="n">
        <v>23</v>
      </c>
      <c r="C21" s="56" t="str">
        <f aca="false">IF(ISBLANK(A21), "--", PROPER(TEXT(A21, "dddd")))</f>
        <v>Wednesday</v>
      </c>
      <c r="D21" s="56" t="s">
        <v>130</v>
      </c>
      <c r="E21" s="56" t="s">
        <v>17</v>
      </c>
      <c r="F21" s="60" t="s">
        <v>1365</v>
      </c>
      <c r="G21" s="56" t="s">
        <v>19</v>
      </c>
      <c r="H21" s="56" t="s">
        <v>1310</v>
      </c>
      <c r="I21" s="56" t="s">
        <v>254</v>
      </c>
      <c r="J21" s="63"/>
      <c r="K21" s="58" t="n">
        <v>2</v>
      </c>
      <c r="L21" s="59" t="n">
        <v>0.248611111111111</v>
      </c>
      <c r="M21" s="31" t="s">
        <v>1366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customFormat="false" ht="22.5" hidden="false" customHeight="true" outlineLevel="0" collapsed="false">
      <c r="A22" s="63" t="n">
        <v>45974</v>
      </c>
      <c r="B22" s="1" t="n">
        <v>23</v>
      </c>
      <c r="C22" s="56" t="str">
        <f aca="false">IF(ISBLANK(A22), "--", PROPER(TEXT(A22, "dddd")))</f>
        <v>Thursday</v>
      </c>
      <c r="D22" s="56" t="s">
        <v>46</v>
      </c>
      <c r="E22" s="56" t="s">
        <v>17</v>
      </c>
      <c r="F22" s="60" t="s">
        <v>1367</v>
      </c>
      <c r="G22" s="56" t="s">
        <v>77</v>
      </c>
      <c r="H22" s="56" t="s">
        <v>449</v>
      </c>
      <c r="I22" s="56" t="s">
        <v>21</v>
      </c>
      <c r="J22" s="63" t="n">
        <v>45974</v>
      </c>
      <c r="K22" s="58" t="n">
        <v>1</v>
      </c>
      <c r="L22" s="59" t="n">
        <v>0.0451388888888889</v>
      </c>
      <c r="M22" s="31" t="s">
        <v>1368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customFormat="false" ht="22.5" hidden="false" customHeight="true" outlineLevel="0" collapsed="false">
      <c r="A23" s="63" t="n">
        <v>45978</v>
      </c>
      <c r="B23" s="1" t="n">
        <v>23</v>
      </c>
      <c r="C23" s="56" t="str">
        <f aca="false">IF(ISBLANK(A23), "--", PROPER(TEXT(A23, "dddd")))</f>
        <v>Monday</v>
      </c>
      <c r="D23" s="56" t="s">
        <v>145</v>
      </c>
      <c r="E23" s="56" t="s">
        <v>139</v>
      </c>
      <c r="F23" s="60" t="s">
        <v>1369</v>
      </c>
      <c r="G23" s="56" t="s">
        <v>19</v>
      </c>
      <c r="H23" s="56" t="s">
        <v>141</v>
      </c>
      <c r="I23" s="56" t="s">
        <v>21</v>
      </c>
      <c r="J23" s="63" t="n">
        <v>45981</v>
      </c>
      <c r="K23" s="58" t="n">
        <v>1</v>
      </c>
      <c r="L23" s="59" t="n">
        <v>0.0645833333333333</v>
      </c>
      <c r="M23" s="31" t="s">
        <v>1370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customFormat="false" ht="22.5" hidden="false" customHeight="true" outlineLevel="0" collapsed="false">
      <c r="A24" s="63" t="n">
        <v>45979</v>
      </c>
      <c r="B24" s="1" t="n">
        <v>23</v>
      </c>
      <c r="C24" s="56" t="str">
        <f aca="false">IF(ISBLANK(A24), "--", PROPER(TEXT(A24, "dddd")))</f>
        <v>Tuesday</v>
      </c>
      <c r="D24" s="56" t="s">
        <v>46</v>
      </c>
      <c r="E24" s="56" t="s">
        <v>17</v>
      </c>
      <c r="F24" s="60" t="s">
        <v>1371</v>
      </c>
      <c r="G24" s="56" t="s">
        <v>77</v>
      </c>
      <c r="H24" s="56" t="s">
        <v>449</v>
      </c>
      <c r="I24" s="56" t="s">
        <v>21</v>
      </c>
      <c r="J24" s="63" t="n">
        <v>45979</v>
      </c>
      <c r="K24" s="58" t="n">
        <v>1</v>
      </c>
      <c r="L24" s="59" t="n">
        <v>0.075</v>
      </c>
      <c r="M24" s="31" t="s">
        <v>1372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customFormat="false" ht="22.5" hidden="false" customHeight="true" outlineLevel="0" collapsed="false">
      <c r="A25" s="63" t="n">
        <v>45979</v>
      </c>
      <c r="B25" s="1" t="n">
        <v>23</v>
      </c>
      <c r="C25" s="56" t="str">
        <f aca="false">IF(ISBLANK(A25), "--", PROPER(TEXT(A25, "dddd")))</f>
        <v>Tuesday</v>
      </c>
      <c r="D25" s="56" t="s">
        <v>145</v>
      </c>
      <c r="E25" s="56" t="s">
        <v>139</v>
      </c>
      <c r="F25" s="60" t="s">
        <v>1373</v>
      </c>
      <c r="G25" s="56" t="s">
        <v>48</v>
      </c>
      <c r="H25" s="56" t="s">
        <v>141</v>
      </c>
      <c r="I25" s="56" t="s">
        <v>21</v>
      </c>
      <c r="J25" s="63" t="n">
        <v>45979</v>
      </c>
      <c r="K25" s="58" t="n">
        <v>1</v>
      </c>
      <c r="L25" s="59" t="n">
        <v>0.0819444444444444</v>
      </c>
      <c r="M25" s="31" t="s">
        <v>1374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customFormat="false" ht="22.5" hidden="false" customHeight="true" outlineLevel="0" collapsed="false">
      <c r="A26" s="63" t="n">
        <v>45979</v>
      </c>
      <c r="B26" s="1" t="n">
        <v>23</v>
      </c>
      <c r="C26" s="56" t="str">
        <f aca="false">IF(ISBLANK(A26), "--", PROPER(TEXT(A26, "dddd")))</f>
        <v>Tuesday</v>
      </c>
      <c r="D26" s="56" t="s">
        <v>72</v>
      </c>
      <c r="E26" s="56" t="s">
        <v>17</v>
      </c>
      <c r="F26" s="60" t="s">
        <v>1375</v>
      </c>
      <c r="G26" s="56" t="s">
        <v>48</v>
      </c>
      <c r="H26" s="56" t="s">
        <v>449</v>
      </c>
      <c r="I26" s="56" t="s">
        <v>314</v>
      </c>
      <c r="J26" s="63"/>
      <c r="K26" s="58" t="n">
        <v>2</v>
      </c>
      <c r="L26" s="59"/>
      <c r="M26" s="61" t="s">
        <v>1376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customFormat="false" ht="22.5" hidden="false" customHeight="true" outlineLevel="0" collapsed="false">
      <c r="A27" s="63" t="n">
        <v>45982</v>
      </c>
      <c r="B27" s="1" t="n">
        <v>23</v>
      </c>
      <c r="C27" s="56" t="str">
        <f aca="false">IF(ISBLANK(A27), "--", PROPER(TEXT(A27, "dddd")))</f>
        <v>Friday</v>
      </c>
      <c r="D27" s="56" t="s">
        <v>145</v>
      </c>
      <c r="E27" s="56" t="s">
        <v>139</v>
      </c>
      <c r="F27" s="60" t="s">
        <v>1377</v>
      </c>
      <c r="G27" s="56" t="s">
        <v>19</v>
      </c>
      <c r="H27" s="56" t="s">
        <v>141</v>
      </c>
      <c r="I27" s="56" t="s">
        <v>1378</v>
      </c>
      <c r="J27" s="63"/>
      <c r="K27" s="58"/>
      <c r="L27" s="59"/>
      <c r="M27" s="83" t="s">
        <v>1379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customFormat="false" ht="22.5" hidden="false" customHeight="true" outlineLevel="0" collapsed="false">
      <c r="A28" s="55" t="n">
        <v>45986</v>
      </c>
      <c r="B28" s="1" t="n">
        <v>24</v>
      </c>
      <c r="C28" s="56" t="str">
        <f aca="false">IF(ISBLANK(A28), "--", PROPER(TEXT(A28, "dddd")))</f>
        <v>Tuesday</v>
      </c>
      <c r="D28" s="56" t="s">
        <v>134</v>
      </c>
      <c r="E28" s="56" t="s">
        <v>17</v>
      </c>
      <c r="F28" s="60" t="s">
        <v>1380</v>
      </c>
      <c r="G28" s="56" t="s">
        <v>48</v>
      </c>
      <c r="H28" s="56" t="s">
        <v>70</v>
      </c>
      <c r="I28" s="56" t="s">
        <v>314</v>
      </c>
      <c r="J28" s="63"/>
      <c r="K28" s="58" t="n">
        <v>1</v>
      </c>
      <c r="L28" s="59"/>
      <c r="M28" s="83" t="s">
        <v>1381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customFormat="false" ht="22.5" hidden="false" customHeight="true" outlineLevel="0" collapsed="false">
      <c r="A29" s="63"/>
      <c r="C29" s="44"/>
      <c r="D29" s="44"/>
      <c r="E29" s="44"/>
      <c r="F29" s="60"/>
      <c r="G29" s="44"/>
      <c r="H29" s="44"/>
      <c r="I29" s="44"/>
      <c r="J29" s="63"/>
      <c r="K29" s="58"/>
      <c r="L29" s="59"/>
      <c r="M29" s="89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customFormat="false" ht="22.5" hidden="false" customHeight="true" outlineLevel="0" collapsed="false">
      <c r="A30" s="63"/>
      <c r="C30" s="44"/>
      <c r="D30" s="44"/>
      <c r="E30" s="44"/>
      <c r="F30" s="60"/>
      <c r="G30" s="44"/>
      <c r="H30" s="44"/>
      <c r="I30" s="44"/>
      <c r="J30" s="63"/>
      <c r="K30" s="58"/>
      <c r="L30" s="59"/>
      <c r="M30" s="60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customFormat="false" ht="22.5" hidden="false" customHeight="true" outlineLevel="0" collapsed="false">
      <c r="A31" s="63"/>
      <c r="C31" s="44"/>
      <c r="D31" s="44"/>
      <c r="E31" s="44"/>
      <c r="F31" s="60"/>
      <c r="G31" s="44"/>
      <c r="H31" s="44"/>
      <c r="I31" s="44"/>
      <c r="J31" s="63"/>
      <c r="K31" s="58"/>
      <c r="L31" s="59"/>
      <c r="M31" s="60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customFormat="false" ht="22.5" hidden="false" customHeight="true" outlineLevel="0" collapsed="false">
      <c r="A32" s="63"/>
      <c r="C32" s="44"/>
      <c r="D32" s="44"/>
      <c r="E32" s="44"/>
      <c r="F32" s="60"/>
      <c r="G32" s="44"/>
      <c r="H32" s="44"/>
      <c r="I32" s="44"/>
      <c r="J32" s="57"/>
      <c r="K32" s="58"/>
      <c r="L32" s="59"/>
      <c r="M32" s="90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customFormat="false" ht="22.5" hidden="false" customHeight="true" outlineLevel="0" collapsed="false">
      <c r="A33" s="63"/>
      <c r="C33" s="44"/>
      <c r="D33" s="44"/>
      <c r="E33" s="44"/>
      <c r="F33" s="60"/>
      <c r="G33" s="44"/>
      <c r="H33" s="44"/>
      <c r="I33" s="44"/>
      <c r="J33" s="57"/>
      <c r="K33" s="58"/>
      <c r="L33" s="59"/>
      <c r="M33" s="90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customFormat="false" ht="22.5" hidden="false" customHeight="true" outlineLevel="0" collapsed="false">
      <c r="A34" s="63"/>
      <c r="C34" s="44"/>
      <c r="D34" s="44"/>
      <c r="E34" s="44"/>
      <c r="F34" s="60"/>
      <c r="G34" s="44"/>
      <c r="H34" s="44"/>
      <c r="I34" s="44"/>
      <c r="J34" s="57"/>
      <c r="K34" s="58"/>
      <c r="L34" s="59"/>
      <c r="M34" s="90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customFormat="false" ht="22.5" hidden="false" customHeight="true" outlineLevel="0" collapsed="false">
      <c r="A35" s="63"/>
      <c r="C35" s="44"/>
      <c r="D35" s="44"/>
      <c r="E35" s="44"/>
      <c r="F35" s="60"/>
      <c r="G35" s="44"/>
      <c r="H35" s="44"/>
      <c r="I35" s="44"/>
      <c r="J35" s="57"/>
      <c r="K35" s="58"/>
      <c r="L35" s="59"/>
      <c r="M35" s="90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customFormat="false" ht="22.5" hidden="false" customHeight="true" outlineLevel="0" collapsed="false">
      <c r="A36" s="63"/>
      <c r="C36" s="44"/>
      <c r="D36" s="44"/>
      <c r="E36" s="44"/>
      <c r="F36" s="60"/>
      <c r="G36" s="44"/>
      <c r="H36" s="44"/>
      <c r="I36" s="44"/>
      <c r="J36" s="57"/>
      <c r="K36" s="58"/>
      <c r="L36" s="59"/>
      <c r="M36" s="90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customFormat="false" ht="22.5" hidden="false" customHeight="true" outlineLevel="0" collapsed="false">
      <c r="A37" s="63"/>
      <c r="C37" s="44"/>
      <c r="D37" s="44"/>
      <c r="E37" s="44"/>
      <c r="F37" s="60"/>
      <c r="G37" s="44"/>
      <c r="H37" s="44"/>
      <c r="I37" s="44"/>
      <c r="J37" s="57"/>
      <c r="K37" s="58"/>
      <c r="L37" s="59"/>
      <c r="M37" s="90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customFormat="false" ht="22.5" hidden="false" customHeight="true" outlineLevel="0" collapsed="false">
      <c r="A38" s="63"/>
      <c r="C38" s="44"/>
      <c r="D38" s="44"/>
      <c r="E38" s="44"/>
      <c r="F38" s="60"/>
      <c r="G38" s="44"/>
      <c r="H38" s="44"/>
      <c r="I38" s="44"/>
      <c r="J38" s="57"/>
      <c r="K38" s="58"/>
      <c r="L38" s="59"/>
      <c r="M38" s="90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customFormat="false" ht="22.5" hidden="false" customHeight="true" outlineLevel="0" collapsed="false">
      <c r="A39" s="63"/>
      <c r="B39" s="44"/>
      <c r="C39" s="44"/>
      <c r="D39" s="44"/>
      <c r="E39" s="44"/>
      <c r="F39" s="60"/>
      <c r="G39" s="44"/>
      <c r="H39" s="44"/>
      <c r="I39" s="44"/>
      <c r="J39" s="57"/>
      <c r="K39" s="58"/>
      <c r="L39" s="59"/>
      <c r="M39" s="56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customFormat="false" ht="15.75" hidden="false" customHeight="false" outlineLevel="0" collapsed="false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6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customFormat="false" ht="15.75" hidden="false" customHeight="false" outlineLevel="0" collapsed="false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6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customFormat="false" ht="15.75" hidden="false" customHeight="false" outlineLevel="0" collapsed="false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customFormat="false" ht="15.75" hidden="false" customHeight="false" outlineLevel="0" collapsed="false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6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customFormat="false" ht="15.75" hidden="false" customHeight="false" outlineLevel="0" collapsed="false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6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customFormat="false" ht="15.75" hidden="false" customHeight="false" outlineLevel="0" collapsed="false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customFormat="false" ht="15.75" hidden="false" customHeight="false" outlineLevel="0" collapsed="false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6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customFormat="false" ht="15.75" hidden="false" customHeight="false" outlineLevel="0" collapsed="false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6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customFormat="false" ht="15.75" hidden="false" customHeight="false" outlineLevel="0" collapsed="false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customFormat="false" ht="15.75" hidden="false" customHeight="fals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6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customFormat="false" ht="15.75" hidden="false" customHeight="false" outlineLevel="0" collapsed="false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6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customFormat="false" ht="15.75" hidden="false" customHeight="false" outlineLevel="0" collapsed="false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6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customFormat="false" ht="15.75" hidden="false" customHeight="false" outlineLevel="0" collapsed="false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6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customFormat="false" ht="15.75" hidden="false" customHeight="false" outlineLevel="0" collapsed="false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6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customFormat="false" ht="15.75" hidden="false" customHeight="false" outlineLevel="0" collapsed="false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customFormat="false" ht="15.75" hidden="false" customHeight="false" outlineLevel="0" collapsed="false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6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customFormat="false" ht="15.75" hidden="false" customHeight="false" outlineLevel="0" collapsed="false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6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customFormat="false" ht="15.7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customFormat="false" ht="15.75" hidden="false" customHeight="false" outlineLevel="0" collapsed="false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customFormat="false" ht="15.75" hidden="false" customHeight="false" outlineLevel="0" collapsed="false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customFormat="false" ht="15.75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customFormat="false" ht="15.75" hidden="false" customHeight="false" outlineLevel="0" collapsed="false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customFormat="false" ht="15.7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customFormat="false" ht="15.7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customFormat="false" ht="15.75" hidden="false" customHeight="false" outlineLevel="0" collapsed="false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customFormat="false" ht="15.7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 customFormat="false" ht="15.7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 customFormat="false" ht="15.7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</row>
    <row r="68" customFormat="false" ht="15.7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 customFormat="false" ht="15.7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</row>
    <row r="70" customFormat="false" ht="15.7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customFormat="false" ht="15.7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</row>
    <row r="73" customFormat="false" ht="15.7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 customFormat="false" ht="15.7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5" customFormat="false" ht="15.7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</row>
    <row r="76" customFormat="false" ht="15.7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</row>
    <row r="77" customFormat="false" ht="15.7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 customFormat="false" ht="15.7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 customFormat="false" ht="15.7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</row>
    <row r="80" customFormat="false" ht="15.7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 customFormat="false" ht="15.7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</row>
    <row r="83" customFormat="false" ht="15.7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</row>
    <row r="84" customFormat="false" ht="15.7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</row>
    <row r="85" customFormat="false" ht="15.7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</row>
    <row r="86" customFormat="false" ht="15.7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</row>
    <row r="87" customFormat="false" ht="15.7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</row>
    <row r="88" customFormat="false" ht="15.7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</row>
    <row r="89" customFormat="false" ht="15.7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6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</row>
    <row r="90" customFormat="false" ht="15.7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6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</row>
    <row r="91" customFormat="false" ht="15.7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6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6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</row>
    <row r="93" customFormat="false" ht="15.7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6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customFormat="false" ht="15.7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6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</row>
    <row r="95" customFormat="false" ht="15.7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6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</row>
    <row r="96" customFormat="false" ht="15.7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6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</row>
    <row r="97" customFormat="false" ht="15.7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6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</row>
    <row r="98" customFormat="false" ht="15.7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6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</row>
    <row r="99" customFormat="false" ht="15.7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6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</row>
    <row r="100" customFormat="false" ht="15.7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6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customFormat="false" ht="15.7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6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6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</row>
    <row r="103" customFormat="false" ht="15.7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6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</row>
    <row r="104" customFormat="false" ht="15.7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6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customFormat="false" ht="15.7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6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</row>
    <row r="106" customFormat="false" ht="15.7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6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 customFormat="false" ht="15.7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6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</row>
    <row r="108" customFormat="false" ht="15.7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6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</row>
    <row r="109" customFormat="false" ht="15.7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6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</row>
    <row r="110" customFormat="false" ht="15.7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customFormat="false" ht="15.7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6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6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 customFormat="false" ht="15.7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6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  <row r="114" customFormat="false" ht="15.7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</row>
    <row r="115" customFormat="false" ht="15.7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6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</row>
    <row r="116" customFormat="false" ht="15.7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6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 customFormat="false" ht="15.7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6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 customFormat="false" ht="15.7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6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 customFormat="false" ht="15.7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6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 customFormat="false" ht="15.7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6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 customFormat="false" ht="15.7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6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6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customFormat="false" ht="15.7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6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customFormat="false" ht="15.7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6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customFormat="false" ht="15.7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6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 customFormat="false" ht="15.7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6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 customFormat="false" ht="15.7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6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 customFormat="false" ht="15.7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6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customFormat="false" ht="15.7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6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 customFormat="false" ht="15.7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6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 customFormat="false" ht="15.7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6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6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 customFormat="false" ht="15.7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6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 customFormat="false" ht="15.7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6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customFormat="false" ht="15.7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 customFormat="false" ht="15.7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6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 customFormat="false" ht="15.7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6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customFormat="false" ht="15.7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customFormat="false" ht="15.7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6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customFormat="false" ht="15.7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6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 customFormat="false" ht="15.7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6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customFormat="false" ht="15.7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6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customFormat="false" ht="15.7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customFormat="false" ht="15.7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6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customFormat="false" ht="15.7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6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customFormat="false" ht="15.7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customFormat="false" ht="15.7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6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 customFormat="false" ht="15.75" hidden="false" customHeight="fals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6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</row>
    <row r="150" customFormat="false" ht="15.75" hidden="false" customHeight="fals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 customFormat="false" ht="15.75" hidden="false" customHeight="fals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6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6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 customFormat="false" ht="15.75" hidden="false" customHeight="fals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 customFormat="false" ht="15.75" hidden="false" customHeight="fals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6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 customFormat="false" ht="15.75" hidden="false" customHeight="fals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6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 customFormat="false" ht="15.75" hidden="false" customHeight="fals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</row>
    <row r="157" customFormat="false" ht="15.75" hidden="false" customHeight="fals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6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</row>
    <row r="158" customFormat="false" ht="15.75" hidden="false" customHeight="fals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6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</row>
    <row r="159" customFormat="false" ht="15.75" hidden="false" customHeight="fals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6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</row>
    <row r="160" customFormat="false" ht="15.75" hidden="false" customHeight="fals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6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 customFormat="false" ht="15.75" hidden="false" customHeight="fals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6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</row>
    <row r="162" customFormat="false" ht="15.75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6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</row>
    <row r="163" customFormat="false" ht="15.75" hidden="false" customHeight="fals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6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</row>
    <row r="164" customFormat="false" ht="15.75" hidden="false" customHeight="fals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6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 customFormat="false" ht="15.75" hidden="false" customHeight="fals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</row>
    <row r="166" customFormat="false" ht="15.75" hidden="false" customHeight="fals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6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</row>
    <row r="167" customFormat="false" ht="15.75" hidden="false" customHeight="fals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6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</row>
    <row r="168" customFormat="false" ht="15.75" hidden="false" customHeight="fals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</row>
    <row r="169" customFormat="false" ht="15.75" hidden="false" customHeight="fals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6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</row>
    <row r="170" customFormat="false" ht="15.75" hidden="false" customHeight="fals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6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</row>
    <row r="171" customFormat="false" ht="15.75" hidden="false" customHeight="fals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</row>
    <row r="172" customFormat="false" ht="15.75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6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 customFormat="false" ht="15.75" hidden="false" customHeight="fals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6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 customFormat="false" ht="15.75" hidden="false" customHeight="fals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</row>
    <row r="175" customFormat="false" ht="15.75" hidden="false" customHeight="fals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6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</row>
    <row r="176" customFormat="false" ht="15.75" hidden="false" customHeight="fals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6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</row>
    <row r="177" customFormat="false" ht="15.75" hidden="false" customHeight="fals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</row>
    <row r="178" customFormat="false" ht="15.75" hidden="false" customHeight="fals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6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</row>
    <row r="179" customFormat="false" ht="15.75" hidden="false" customHeight="fals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6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 customFormat="false" ht="15.75" hidden="false" customHeight="fals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</row>
    <row r="181" customFormat="false" ht="15.75" hidden="false" customHeight="fals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6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6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 customFormat="false" ht="15.75" hidden="false" customHeight="fals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 customFormat="false" ht="15.75" hidden="false" customHeight="fals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6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</row>
    <row r="185" customFormat="false" ht="15.75" hidden="false" customHeight="fals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6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</row>
    <row r="186" customFormat="false" ht="15.75" hidden="false" customHeight="fals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 customFormat="false" ht="15.75" hidden="false" customHeight="fals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6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 customFormat="false" ht="15.75" hidden="false" customHeight="fals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6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 customFormat="false" ht="15.75" hidden="false" customHeight="fals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6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 customFormat="false" ht="15.75" hidden="false" customHeight="fals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6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 customFormat="false" ht="15.75" hidden="false" customHeight="fals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6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</row>
    <row r="192" customFormat="false" ht="15.75" hidden="false" customHeight="fals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</row>
    <row r="193" customFormat="false" ht="15.75" hidden="false" customHeight="fals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6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</row>
    <row r="194" customFormat="false" ht="15.75" hidden="false" customHeight="fals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6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</row>
    <row r="195" customFormat="false" ht="15.75" hidden="false" customHeight="fals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</row>
    <row r="196" customFormat="false" ht="15.75" hidden="false" customHeight="fals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6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</row>
    <row r="197" customFormat="false" ht="15.75" hidden="false" customHeight="fals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6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</row>
    <row r="198" customFormat="false" ht="15.75" hidden="false" customHeight="fals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</row>
    <row r="199" customFormat="false" ht="15.75" hidden="false" customHeight="fals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6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</row>
    <row r="200" customFormat="false" ht="15.75" hidden="false" customHeight="fals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6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</row>
    <row r="201" customFormat="false" ht="15.75" hidden="false" customHeight="fals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</row>
    <row r="202" customFormat="false" ht="15.75" hidden="false" customHeight="fals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6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</row>
    <row r="203" customFormat="false" ht="15.75" hidden="false" customHeight="fals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6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</row>
    <row r="204" customFormat="false" ht="15.75" hidden="false" customHeight="fals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</row>
    <row r="205" customFormat="false" ht="15.75" hidden="false" customHeight="fals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6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</row>
    <row r="206" customFormat="false" ht="15.75" hidden="false" customHeight="fals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6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</row>
    <row r="207" customFormat="false" ht="15.75" hidden="false" customHeight="fals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</row>
    <row r="208" customFormat="false" ht="15.75" hidden="false" customHeight="fals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6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</row>
    <row r="209" customFormat="false" ht="15.75" hidden="false" customHeight="fals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6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 customFormat="false" ht="15.75" hidden="false" customHeight="fals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 customFormat="false" ht="15.75" hidden="false" customHeight="fals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6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 customFormat="false" ht="15.75" hidden="false" customHeight="fals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6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customFormat="false" ht="15.75" hidden="false" customHeight="fals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customFormat="false" ht="15.75" hidden="false" customHeight="fals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6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customFormat="false" ht="15.75" hidden="false" customHeight="fals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6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 customFormat="false" ht="15.75" hidden="false" customHeight="fals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 customFormat="false" ht="15.75" hidden="false" customHeight="fals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6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 customFormat="false" ht="15.75" hidden="false" customHeight="fals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6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 customFormat="false" ht="15.75" hidden="false" customHeight="fals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customFormat="false" ht="15.75" hidden="false" customHeight="fals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6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customFormat="false" ht="15.75" hidden="false" customHeight="fals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6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customFormat="false" ht="15.75" hidden="false" customHeight="fals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 customFormat="false" ht="15.75" hidden="false" customHeight="fals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6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customFormat="false" ht="15.75" hidden="false" customHeight="fals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6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customFormat="false" ht="15.75" hidden="false" customHeight="fals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customFormat="false" ht="15.75" hidden="false" customHeight="fals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6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customFormat="false" ht="15.75" hidden="false" customHeight="fals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6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customFormat="false" ht="15.75" hidden="false" customHeight="fals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customFormat="false" ht="15.75" hidden="false" customHeight="fals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6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customFormat="false" ht="15.75" hidden="false" customHeight="fals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6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 customFormat="false" ht="15.75" hidden="false" customHeight="fals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customFormat="false" ht="15.75" hidden="false" customHeight="fals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6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 customFormat="false" ht="15.75" hidden="false" customHeight="fals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6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 customFormat="false" ht="15.75" hidden="false" customHeight="fals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 customFormat="false" ht="15.75" hidden="false" customHeight="fals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6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customFormat="false" ht="15.75" hidden="false" customHeight="fals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6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customFormat="false" ht="15.75" hidden="false" customHeight="fals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 customFormat="false" ht="15.75" hidden="false" customHeight="fals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6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 customFormat="false" ht="15.75" hidden="false" customHeight="fals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6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customFormat="false" ht="15.75" hidden="false" customHeight="fals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 customFormat="false" ht="15.75" hidden="false" customHeight="fals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6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customFormat="false" ht="15.75" hidden="false" customHeight="fals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6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 customFormat="false" ht="15.75" hidden="false" customHeight="fals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customFormat="false" ht="15.75" hidden="false" customHeight="fals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6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customFormat="false" ht="15.75" hidden="false" customHeight="fals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6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customFormat="false" ht="15.75" hidden="false" customHeight="fals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customFormat="false" ht="15.75" hidden="false" customHeight="fals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6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customFormat="false" ht="15.75" hidden="false" customHeight="fals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6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 customFormat="false" ht="15.75" hidden="false" customHeight="fals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 customFormat="false" ht="15.75" hidden="false" customHeight="fals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6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 customFormat="false" ht="15.75" hidden="false" customHeight="fals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6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 customFormat="false" ht="15.75" hidden="false" customHeight="fals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customFormat="false" ht="15.75" hidden="false" customHeight="fals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6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customFormat="false" ht="15.75" hidden="false" customHeight="fals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6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customFormat="false" ht="15.75" hidden="false" customHeight="fals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 customFormat="false" ht="15.75" hidden="false" customHeight="fals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6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 customFormat="false" ht="15.75" hidden="false" customHeight="fals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6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customFormat="false" ht="15.75" hidden="false" customHeight="fals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customFormat="false" ht="15.75" hidden="false" customHeight="fals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6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customFormat="false" ht="15.75" hidden="false" customHeight="fals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6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customFormat="false" ht="15.75" hidden="false" customHeight="fals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6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 customFormat="false" ht="15.75" hidden="false" customHeight="fals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6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 customFormat="false" ht="15.75" hidden="false" customHeight="fals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6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 customFormat="false" ht="15.75" hidden="false" customHeight="fals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customFormat="false" ht="15.75" hidden="false" customHeight="fals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6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 customFormat="false" ht="15.75" hidden="false" customHeight="fals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6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 customFormat="false" ht="15.75" hidden="false" customHeight="fals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customFormat="false" ht="15.75" hidden="false" customHeight="fals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6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 customFormat="false" ht="15.75" hidden="false" customHeight="fals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6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 customFormat="false" ht="15.75" hidden="false" customHeight="fals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 customFormat="false" ht="15.75" hidden="false" customHeight="fals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6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 customFormat="false" ht="15.75" hidden="false" customHeight="fals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6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 customFormat="false" ht="15.75" hidden="false" customHeight="fals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 customFormat="false" ht="15.75" hidden="false" customHeight="fals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6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 customFormat="false" ht="15.75" hidden="false" customHeight="fals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6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 customFormat="false" ht="15.75" hidden="false" customHeight="fals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 customFormat="false" ht="15.75" hidden="false" customHeight="fals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6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customFormat="false" ht="15.75" hidden="false" customHeight="fals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6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customFormat="false" ht="15.75" hidden="false" customHeight="fals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customFormat="false" ht="15.75" hidden="false" customHeight="fals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6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customFormat="false" ht="15.75" hidden="false" customHeight="fals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6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 customFormat="false" ht="15.75" hidden="false" customHeight="fals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6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 customFormat="false" ht="15.75" hidden="false" customHeight="fals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6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customFormat="false" ht="15.75" hidden="false" customHeight="fals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6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 customFormat="false" ht="15.75" hidden="false" customHeight="fals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 customFormat="false" ht="15.75" hidden="false" customHeight="fals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6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 customFormat="false" ht="15.75" hidden="false" customHeight="fals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6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 customFormat="false" ht="15.75" hidden="false" customHeight="fals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 customFormat="false" ht="15.75" hidden="false" customHeight="fals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6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 customFormat="false" ht="15.75" hidden="false" customHeight="fals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6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 customFormat="false" ht="15.75" hidden="false" customHeight="fals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 customFormat="false" ht="15.75" hidden="false" customHeight="fals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6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 customFormat="false" ht="15.75" hidden="false" customHeight="fals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6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 customFormat="false" ht="15.75" hidden="false" customHeight="fals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 customFormat="false" ht="15.75" hidden="false" customHeight="fals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6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 customFormat="false" ht="15.75" hidden="false" customHeight="fals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6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 customFormat="false" ht="15.75" hidden="false" customHeight="fals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 customFormat="false" ht="15.75" hidden="false" customHeight="fals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6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  <row r="299" customFormat="false" ht="15.75" hidden="false" customHeight="fals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6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</row>
    <row r="300" customFormat="false" ht="15.75" hidden="false" customHeight="fals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</row>
    <row r="301" customFormat="false" ht="15.75" hidden="false" customHeight="fals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6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</row>
    <row r="302" customFormat="false" ht="15.75" hidden="false" customHeight="fals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6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</row>
    <row r="303" customFormat="false" ht="15.75" hidden="false" customHeight="fals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6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</row>
    <row r="304" customFormat="false" ht="15.75" hidden="false" customHeight="fals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6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</row>
    <row r="305" customFormat="false" ht="15.75" hidden="false" customHeight="fals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6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</row>
    <row r="306" customFormat="false" ht="15.75" hidden="false" customHeight="fals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</row>
    <row r="307" customFormat="false" ht="15.75" hidden="false" customHeight="fals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6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</row>
    <row r="308" customFormat="false" ht="15.75" hidden="false" customHeight="fals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6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</row>
    <row r="309" customFormat="false" ht="15.75" hidden="false" customHeight="fals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6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</row>
    <row r="310" customFormat="false" ht="15.75" hidden="false" customHeight="fals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6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</row>
    <row r="311" customFormat="false" ht="15.75" hidden="false" customHeight="fals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6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</row>
    <row r="312" customFormat="false" ht="15.75" hidden="false" customHeight="fals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</row>
    <row r="313" customFormat="false" ht="15.75" hidden="false" customHeight="fals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6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</row>
    <row r="314" customFormat="false" ht="15.75" hidden="false" customHeight="fals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6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</row>
    <row r="315" customFormat="false" ht="15.75" hidden="false" customHeight="fals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</row>
    <row r="316" customFormat="false" ht="15.75" hidden="false" customHeight="fals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6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 customFormat="false" ht="15.75" hidden="false" customHeight="fals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6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 customFormat="false" ht="15.75" hidden="false" customHeight="fals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</row>
    <row r="319" customFormat="false" ht="15.75" hidden="false" customHeight="fals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6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</row>
    <row r="320" customFormat="false" ht="15.75" hidden="false" customHeight="fals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6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</row>
    <row r="321" customFormat="false" ht="15.75" hidden="false" customHeight="fals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</row>
    <row r="322" customFormat="false" ht="15.75" hidden="false" customHeight="fals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 customFormat="false" ht="15.75" hidden="false" customHeight="fals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 customFormat="false" ht="15.75" hidden="false" customHeight="fals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 customFormat="false" ht="15.75" hidden="false" customHeight="fals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 customFormat="false" ht="15.75" hidden="false" customHeight="fals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 customFormat="false" ht="15.75" hidden="false" customHeight="fals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 customFormat="false" ht="15.75" hidden="false" customHeight="fals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 customFormat="false" ht="15.75" hidden="false" customHeight="fals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 customFormat="false" ht="15.75" hidden="false" customHeight="fals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 customFormat="false" ht="15.75" hidden="false" customHeight="fals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 customFormat="false" ht="15.75" hidden="false" customHeight="fals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 customFormat="false" ht="15.75" hidden="false" customHeight="fals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 customFormat="false" ht="15.75" hidden="false" customHeight="fals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 customFormat="false" ht="15.75" hidden="false" customHeight="fals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 customFormat="false" ht="15.75" hidden="false" customHeight="fals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 customFormat="false" ht="15.75" hidden="false" customHeight="fals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 customFormat="false" ht="15.75" hidden="false" customHeight="fals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 customFormat="false" ht="15.75" hidden="false" customHeight="fals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 customFormat="false" ht="15.75" hidden="false" customHeight="fals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 customFormat="false" ht="15.75" hidden="false" customHeight="fals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 customFormat="false" ht="15.75" hidden="false" customHeight="fals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 customFormat="false" ht="15.75" hidden="false" customHeight="fals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 customFormat="false" ht="15.75" hidden="false" customHeight="fals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 customFormat="false" ht="15.75" hidden="false" customHeight="fals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</row>
    <row r="346" customFormat="false" ht="15.75" hidden="false" customHeight="fals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</row>
    <row r="347" customFormat="false" ht="15.75" hidden="false" customHeight="fals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</row>
    <row r="348" customFormat="false" ht="15.75" hidden="false" customHeight="fals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 customFormat="false" ht="15.75" hidden="false" customHeight="fals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 customFormat="false" ht="15.75" hidden="false" customHeight="fals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</row>
    <row r="351" customFormat="false" ht="15.75" hidden="false" customHeight="fals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 customFormat="false" ht="15.75" hidden="false" customHeight="fals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 customFormat="false" ht="15.75" hidden="false" customHeight="fals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 customFormat="false" ht="15.75" hidden="false" customHeight="fals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 customFormat="false" ht="15.75" hidden="false" customHeight="fals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 customFormat="false" ht="15.75" hidden="false" customHeight="fals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 customFormat="false" ht="15.75" hidden="false" customHeight="fals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 customFormat="false" ht="15.75" hidden="false" customHeight="fals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 customFormat="false" ht="15.75" hidden="false" customHeight="fals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 customFormat="false" ht="15.75" hidden="false" customHeight="fals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 customFormat="false" ht="15.75" hidden="false" customHeight="fals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 customFormat="false" ht="15.75" hidden="false" customHeight="fals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 customFormat="false" ht="15.75" hidden="false" customHeight="fals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 customFormat="false" ht="15.75" hidden="false" customHeight="fals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 customFormat="false" ht="15.75" hidden="false" customHeight="fals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 customFormat="false" ht="15.75" hidden="false" customHeight="fals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 customFormat="false" ht="15.75" hidden="false" customHeight="fals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 customFormat="false" ht="15.75" hidden="false" customHeight="fals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 customFormat="false" ht="15.75" hidden="false" customHeight="fals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 customFormat="false" ht="15.75" hidden="false" customHeight="fals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 customFormat="false" ht="15.75" hidden="false" customHeight="fals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 customFormat="false" ht="15.75" hidden="false" customHeight="fals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 customFormat="false" ht="15.75" hidden="false" customHeight="fals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 customFormat="false" ht="15.75" hidden="false" customHeight="fals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 customFormat="false" ht="15.75" hidden="false" customHeight="fals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 customFormat="false" ht="15.75" hidden="false" customHeight="fals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 customFormat="false" ht="15.75" hidden="false" customHeight="fals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 customFormat="false" ht="15.75" hidden="false" customHeight="fals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 customFormat="false" ht="15.75" hidden="false" customHeight="fals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 customFormat="false" ht="15.75" hidden="false" customHeight="fals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 customFormat="false" ht="15.75" hidden="false" customHeight="fals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 customFormat="false" ht="15.75" hidden="false" customHeight="fals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 customFormat="false" ht="15.75" hidden="false" customHeight="fals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 customFormat="false" ht="15.75" hidden="false" customHeight="fals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 customFormat="false" ht="15.75" hidden="false" customHeight="fals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 customFormat="false" ht="15.75" hidden="false" customHeight="fals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 customFormat="false" ht="15.75" hidden="false" customHeight="fals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 customFormat="false" ht="15.75" hidden="false" customHeight="fals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 customFormat="false" ht="15.75" hidden="false" customHeight="fals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 customFormat="false" ht="15.75" hidden="false" customHeight="fals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 customFormat="false" ht="15.75" hidden="false" customHeight="fals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 customFormat="false" ht="15.75" hidden="false" customHeight="fals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 customFormat="false" ht="15.75" hidden="false" customHeight="fals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 customFormat="false" ht="15.75" hidden="false" customHeight="fals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 customFormat="false" ht="15.75" hidden="false" customHeight="fals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 customFormat="false" ht="15.75" hidden="false" customHeight="fals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 customFormat="false" ht="15.75" hidden="false" customHeight="fals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 customFormat="false" ht="15.75" hidden="false" customHeight="fals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 customFormat="false" ht="15.75" hidden="false" customHeight="fals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 customFormat="false" ht="15.75" hidden="false" customHeight="fals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 customFormat="false" ht="15.75" hidden="false" customHeight="fals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 customFormat="false" ht="15.75" hidden="false" customHeight="false" outlineLevel="0" collapsed="false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 customFormat="false" ht="15.75" hidden="false" customHeight="false" outlineLevel="0" collapsed="false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 customFormat="false" ht="15.75" hidden="false" customHeight="false" outlineLevel="0" collapsed="false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 customFormat="false" ht="15.75" hidden="false" customHeight="false" outlineLevel="0" collapsed="false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 customFormat="false" ht="15.75" hidden="false" customHeight="false" outlineLevel="0" collapsed="false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 customFormat="false" ht="15.75" hidden="false" customHeight="false" outlineLevel="0" collapsed="false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 customFormat="false" ht="15.75" hidden="false" customHeight="false" outlineLevel="0" collapsed="false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 customFormat="false" ht="15.75" hidden="false" customHeight="false" outlineLevel="0" collapsed="false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 customFormat="false" ht="15.75" hidden="false" customHeight="false" outlineLevel="0" collapsed="false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 customFormat="false" ht="15.75" hidden="false" customHeight="false" outlineLevel="0" collapsed="false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 customFormat="false" ht="15.75" hidden="false" customHeight="false" outlineLevel="0" collapsed="false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 customFormat="false" ht="15.75" hidden="false" customHeight="false" outlineLevel="0" collapsed="false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 customFormat="false" ht="15.75" hidden="false" customHeight="false" outlineLevel="0" collapsed="false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 customFormat="false" ht="15.75" hidden="false" customHeight="false" outlineLevel="0" collapsed="false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 customFormat="false" ht="15.75" hidden="false" customHeight="false" outlineLevel="0" collapsed="false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 customFormat="false" ht="15.75" hidden="false" customHeight="false" outlineLevel="0" collapsed="false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 customFormat="false" ht="15.75" hidden="false" customHeight="false" outlineLevel="0" collapsed="false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 customFormat="false" ht="15.75" hidden="false" customHeight="false" outlineLevel="0" collapsed="false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 customFormat="false" ht="15.75" hidden="false" customHeight="false" outlineLevel="0" collapsed="false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 customFormat="false" ht="15.75" hidden="false" customHeight="false" outlineLevel="0" collapsed="false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 customFormat="false" ht="15.75" hidden="false" customHeight="false" outlineLevel="0" collapsed="false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 customFormat="false" ht="15.75" hidden="false" customHeight="false" outlineLevel="0" collapsed="false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 customFormat="false" ht="15.75" hidden="false" customHeight="false" outlineLevel="0" collapsed="false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 customFormat="false" ht="15.75" hidden="false" customHeight="false" outlineLevel="0" collapsed="false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 customFormat="false" ht="15.75" hidden="false" customHeight="false" outlineLevel="0" collapsed="false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 customFormat="false" ht="15.75" hidden="false" customHeight="false" outlineLevel="0" collapsed="false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 customFormat="false" ht="15.75" hidden="false" customHeight="false" outlineLevel="0" collapsed="false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 customFormat="false" ht="15.75" hidden="false" customHeight="false" outlineLevel="0" collapsed="false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 customFormat="false" ht="15.75" hidden="false" customHeight="false" outlineLevel="0" collapsed="false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</row>
    <row r="431" customFormat="false" ht="15.75" hidden="false" customHeight="false" outlineLevel="0" collapsed="false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</row>
    <row r="432" customFormat="false" ht="15.75" hidden="false" customHeight="false" outlineLevel="0" collapsed="false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</row>
    <row r="433" customFormat="false" ht="15.75" hidden="false" customHeight="false" outlineLevel="0" collapsed="false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</row>
    <row r="434" customFormat="false" ht="15.75" hidden="false" customHeight="false" outlineLevel="0" collapsed="false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</row>
    <row r="435" customFormat="false" ht="15.75" hidden="false" customHeight="false" outlineLevel="0" collapsed="false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</row>
    <row r="436" customFormat="false" ht="15.75" hidden="false" customHeight="false" outlineLevel="0" collapsed="false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</row>
    <row r="437" customFormat="false" ht="15.75" hidden="false" customHeight="false" outlineLevel="0" collapsed="false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</row>
    <row r="438" customFormat="false" ht="15.75" hidden="false" customHeight="false" outlineLevel="0" collapsed="false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 customFormat="false" ht="15.75" hidden="false" customHeight="false" outlineLevel="0" collapsed="false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 customFormat="false" ht="15.75" hidden="false" customHeight="false" outlineLevel="0" collapsed="false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 customFormat="false" ht="15.75" hidden="false" customHeight="false" outlineLevel="0" collapsed="false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 customFormat="false" ht="15.75" hidden="false" customHeight="false" outlineLevel="0" collapsed="false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 customFormat="false" ht="15.75" hidden="false" customHeight="false" outlineLevel="0" collapsed="false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 customFormat="false" ht="15.75" hidden="false" customHeight="false" outlineLevel="0" collapsed="false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 customFormat="false" ht="15.75" hidden="false" customHeight="false" outlineLevel="0" collapsed="false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 customFormat="false" ht="15.75" hidden="false" customHeight="false" outlineLevel="0" collapsed="false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</row>
    <row r="447" customFormat="false" ht="15.75" hidden="false" customHeight="false" outlineLevel="0" collapsed="false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</row>
    <row r="448" customFormat="false" ht="15.75" hidden="false" customHeight="false" outlineLevel="0" collapsed="false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</row>
    <row r="449" customFormat="false" ht="15.75" hidden="false" customHeight="false" outlineLevel="0" collapsed="false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</row>
    <row r="450" customFormat="false" ht="15.75" hidden="false" customHeight="false" outlineLevel="0" collapsed="false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</row>
    <row r="451" customFormat="false" ht="15.75" hidden="false" customHeight="false" outlineLevel="0" collapsed="false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</row>
    <row r="452" customFormat="false" ht="15.75" hidden="false" customHeight="false" outlineLevel="0" collapsed="false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</row>
    <row r="453" customFormat="false" ht="15.75" hidden="false" customHeight="false" outlineLevel="0" collapsed="false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</row>
    <row r="454" customFormat="false" ht="15.75" hidden="false" customHeight="false" outlineLevel="0" collapsed="false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</row>
    <row r="455" customFormat="false" ht="15.75" hidden="false" customHeight="false" outlineLevel="0" collapsed="false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</row>
    <row r="456" customFormat="false" ht="15.75" hidden="false" customHeight="false" outlineLevel="0" collapsed="false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</row>
    <row r="457" customFormat="false" ht="15.75" hidden="false" customHeight="false" outlineLevel="0" collapsed="false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</row>
    <row r="458" customFormat="false" ht="15.75" hidden="false" customHeight="false" outlineLevel="0" collapsed="false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</row>
    <row r="459" customFormat="false" ht="15.75" hidden="false" customHeight="false" outlineLevel="0" collapsed="false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</row>
    <row r="460" customFormat="false" ht="15.75" hidden="false" customHeight="false" outlineLevel="0" collapsed="false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</row>
    <row r="461" customFormat="false" ht="15.75" hidden="false" customHeight="false" outlineLevel="0" collapsed="false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</row>
    <row r="462" customFormat="false" ht="15.75" hidden="false" customHeight="false" outlineLevel="0" collapsed="false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</row>
    <row r="463" customFormat="false" ht="15.75" hidden="false" customHeight="false" outlineLevel="0" collapsed="false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</row>
    <row r="464" customFormat="false" ht="15.75" hidden="false" customHeight="false" outlineLevel="0" collapsed="false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 customFormat="false" ht="15.75" hidden="false" customHeight="false" outlineLevel="0" collapsed="false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 customFormat="false" ht="15.75" hidden="false" customHeight="false" outlineLevel="0" collapsed="false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 customFormat="false" ht="15.75" hidden="false" customHeight="false" outlineLevel="0" collapsed="false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 customFormat="false" ht="15.75" hidden="false" customHeight="false" outlineLevel="0" collapsed="false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</row>
    <row r="469" customFormat="false" ht="15.75" hidden="false" customHeight="false" outlineLevel="0" collapsed="false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</row>
    <row r="470" customFormat="false" ht="15.75" hidden="false" customHeight="false" outlineLevel="0" collapsed="false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</row>
    <row r="471" customFormat="false" ht="15.75" hidden="false" customHeight="false" outlineLevel="0" collapsed="false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</row>
    <row r="472" customFormat="false" ht="15.75" hidden="false" customHeight="false" outlineLevel="0" collapsed="false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</row>
    <row r="473" customFormat="false" ht="15.75" hidden="false" customHeight="false" outlineLevel="0" collapsed="false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</row>
    <row r="474" customFormat="false" ht="15.75" hidden="false" customHeight="false" outlineLevel="0" collapsed="false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</row>
    <row r="475" customFormat="false" ht="15.75" hidden="false" customHeight="false" outlineLevel="0" collapsed="false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</row>
    <row r="476" customFormat="false" ht="15.75" hidden="false" customHeight="false" outlineLevel="0" collapsed="false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</row>
    <row r="477" customFormat="false" ht="15.75" hidden="false" customHeight="false" outlineLevel="0" collapsed="false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</row>
    <row r="478" customFormat="false" ht="15.75" hidden="false" customHeight="false" outlineLevel="0" collapsed="false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</row>
    <row r="479" customFormat="false" ht="15.75" hidden="false" customHeight="false" outlineLevel="0" collapsed="false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 customFormat="false" ht="15.75" hidden="false" customHeight="false" outlineLevel="0" collapsed="false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</row>
    <row r="481" customFormat="false" ht="15.75" hidden="false" customHeight="false" outlineLevel="0" collapsed="false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 customFormat="false" ht="15.75" hidden="false" customHeight="false" outlineLevel="0" collapsed="false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 customFormat="false" ht="15.75" hidden="false" customHeight="false" outlineLevel="0" collapsed="false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</row>
    <row r="484" customFormat="false" ht="15.75" hidden="false" customHeight="false" outlineLevel="0" collapsed="false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 customFormat="false" ht="15.75" hidden="false" customHeight="false" outlineLevel="0" collapsed="false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 customFormat="false" ht="15.75" hidden="false" customHeight="false" outlineLevel="0" collapsed="false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</row>
    <row r="487" customFormat="false" ht="15.75" hidden="false" customHeight="false" outlineLevel="0" collapsed="false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</row>
    <row r="488" customFormat="false" ht="15.75" hidden="false" customHeight="false" outlineLevel="0" collapsed="false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</row>
    <row r="489" customFormat="false" ht="15.75" hidden="false" customHeight="false" outlineLevel="0" collapsed="false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</row>
    <row r="490" customFormat="false" ht="15.75" hidden="false" customHeight="false" outlineLevel="0" collapsed="false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</row>
    <row r="491" customFormat="false" ht="15.75" hidden="false" customHeight="false" outlineLevel="0" collapsed="false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 customFormat="false" ht="15.75" hidden="false" customHeight="false" outlineLevel="0" collapsed="false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 customFormat="false" ht="15.75" hidden="false" customHeight="false" outlineLevel="0" collapsed="false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</row>
    <row r="494" customFormat="false" ht="15.75" hidden="false" customHeight="false" outlineLevel="0" collapsed="false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</row>
    <row r="495" customFormat="false" ht="15.75" hidden="false" customHeight="false" outlineLevel="0" collapsed="false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</row>
    <row r="496" customFormat="false" ht="15.75" hidden="false" customHeight="false" outlineLevel="0" collapsed="false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</row>
    <row r="497" customFormat="false" ht="15.75" hidden="false" customHeight="false" outlineLevel="0" collapsed="false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</row>
    <row r="498" customFormat="false" ht="15.75" hidden="false" customHeight="false" outlineLevel="0" collapsed="false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</row>
    <row r="499" customFormat="false" ht="15.75" hidden="false" customHeight="false" outlineLevel="0" collapsed="false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</row>
    <row r="500" customFormat="false" ht="15.75" hidden="false" customHeight="false" outlineLevel="0" collapsed="false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</row>
    <row r="501" customFormat="false" ht="15.75" hidden="false" customHeight="false" outlineLevel="0" collapsed="false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</row>
    <row r="502" customFormat="false" ht="15.75" hidden="false" customHeight="false" outlineLevel="0" collapsed="false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 customFormat="false" ht="15.75" hidden="false" customHeight="false" outlineLevel="0" collapsed="false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 customFormat="false" ht="15.75" hidden="false" customHeight="false" outlineLevel="0" collapsed="false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</row>
    <row r="505" customFormat="false" ht="15.75" hidden="false" customHeight="false" outlineLevel="0" collapsed="false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 customFormat="false" ht="15.75" hidden="false" customHeight="false" outlineLevel="0" collapsed="false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 customFormat="false" ht="15.75" hidden="false" customHeight="false" outlineLevel="0" collapsed="false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</row>
    <row r="508" customFormat="false" ht="15.75" hidden="false" customHeight="false" outlineLevel="0" collapsed="false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 customFormat="false" ht="15.75" hidden="false" customHeight="false" outlineLevel="0" collapsed="false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</row>
    <row r="510" customFormat="false" ht="15.75" hidden="false" customHeight="false" outlineLevel="0" collapsed="false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</row>
    <row r="511" customFormat="false" ht="15.75" hidden="false" customHeight="false" outlineLevel="0" collapsed="false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</row>
    <row r="512" customFormat="false" ht="15.75" hidden="false" customHeight="false" outlineLevel="0" collapsed="false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 customFormat="false" ht="15.75" hidden="false" customHeight="false" outlineLevel="0" collapsed="false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</row>
    <row r="514" customFormat="false" ht="15.75" hidden="false" customHeight="false" outlineLevel="0" collapsed="false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 customFormat="false" ht="15.75" hidden="false" customHeight="false" outlineLevel="0" collapsed="false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 customFormat="false" ht="15.75" hidden="false" customHeight="false" outlineLevel="0" collapsed="false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 customFormat="false" ht="15.75" hidden="false" customHeight="false" outlineLevel="0" collapsed="false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 customFormat="false" ht="15.75" hidden="false" customHeight="false" outlineLevel="0" collapsed="false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 customFormat="false" ht="15.75" hidden="false" customHeight="false" outlineLevel="0" collapsed="false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 customFormat="false" ht="15.75" hidden="false" customHeight="false" outlineLevel="0" collapsed="false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 customFormat="false" ht="15.75" hidden="false" customHeight="false" outlineLevel="0" collapsed="false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 customFormat="false" ht="15.75" hidden="false" customHeight="false" outlineLevel="0" collapsed="false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</row>
    <row r="523" customFormat="false" ht="15.75" hidden="false" customHeight="false" outlineLevel="0" collapsed="false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</row>
    <row r="524" customFormat="false" ht="15.75" hidden="false" customHeight="false" outlineLevel="0" collapsed="false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</row>
    <row r="525" customFormat="false" ht="15.75" hidden="false" customHeight="false" outlineLevel="0" collapsed="false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</row>
    <row r="526" customFormat="false" ht="15.75" hidden="false" customHeight="false" outlineLevel="0" collapsed="false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 customFormat="false" ht="15.75" hidden="false" customHeight="false" outlineLevel="0" collapsed="false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 customFormat="false" ht="15.75" hidden="false" customHeight="false" outlineLevel="0" collapsed="false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 customFormat="false" ht="15.75" hidden="false" customHeight="false" outlineLevel="0" collapsed="false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 customFormat="false" ht="15.75" hidden="false" customHeight="false" outlineLevel="0" collapsed="false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 customFormat="false" ht="15.75" hidden="false" customHeight="false" outlineLevel="0" collapsed="false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6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 customFormat="false" ht="15.75" hidden="false" customHeight="false" outlineLevel="0" collapsed="false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6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 customFormat="false" ht="15.75" hidden="false" customHeight="false" outlineLevel="0" collapsed="false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6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 customFormat="false" ht="15.75" hidden="false" customHeight="false" outlineLevel="0" collapsed="false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 customFormat="false" ht="15.75" hidden="false" customHeight="false" outlineLevel="0" collapsed="false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6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 customFormat="false" ht="15.75" hidden="false" customHeight="false" outlineLevel="0" collapsed="false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6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</row>
    <row r="537" customFormat="false" ht="15.75" hidden="false" customHeight="false" outlineLevel="0" collapsed="false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</row>
    <row r="538" customFormat="false" ht="15.75" hidden="false" customHeight="false" outlineLevel="0" collapsed="false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6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 customFormat="false" ht="15.75" hidden="false" customHeight="false" outlineLevel="0" collapsed="false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6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 customFormat="false" ht="15.75" hidden="false" customHeight="false" outlineLevel="0" collapsed="false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 customFormat="false" ht="15.75" hidden="false" customHeight="false" outlineLevel="0" collapsed="false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6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</row>
    <row r="542" customFormat="false" ht="15.75" hidden="false" customHeight="false" outlineLevel="0" collapsed="false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6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</row>
    <row r="543" customFormat="false" ht="15.75" hidden="false" customHeight="false" outlineLevel="0" collapsed="false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</row>
    <row r="544" customFormat="false" ht="15.75" hidden="false" customHeight="false" outlineLevel="0" collapsed="false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6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 customFormat="false" ht="15.75" hidden="false" customHeight="false" outlineLevel="0" collapsed="false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6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 customFormat="false" ht="15.75" hidden="false" customHeight="false" outlineLevel="0" collapsed="false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6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</row>
    <row r="547" customFormat="false" ht="15.75" hidden="false" customHeight="false" outlineLevel="0" collapsed="false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6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</row>
    <row r="548" customFormat="false" ht="15.75" hidden="false" customHeight="false" outlineLevel="0" collapsed="false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6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 customFormat="false" ht="15.75" hidden="false" customHeight="false" outlineLevel="0" collapsed="false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 customFormat="false" ht="15.75" hidden="false" customHeight="false" outlineLevel="0" collapsed="false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6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 customFormat="false" ht="15.75" hidden="false" customHeight="false" outlineLevel="0" collapsed="false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6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 customFormat="false" ht="15.75" hidden="false" customHeight="false" outlineLevel="0" collapsed="false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6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 customFormat="false" ht="15.75" hidden="false" customHeight="false" outlineLevel="0" collapsed="false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6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 customFormat="false" ht="15.75" hidden="false" customHeight="false" outlineLevel="0" collapsed="false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6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</row>
    <row r="555" customFormat="false" ht="15.75" hidden="false" customHeight="false" outlineLevel="0" collapsed="false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</row>
    <row r="556" customFormat="false" ht="15.75" hidden="false" customHeight="false" outlineLevel="0" collapsed="false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6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</row>
    <row r="557" customFormat="false" ht="15.75" hidden="false" customHeight="false" outlineLevel="0" collapsed="false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6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</row>
    <row r="558" customFormat="false" ht="15.75" hidden="false" customHeight="false" outlineLevel="0" collapsed="false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6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 customFormat="false" ht="15.75" hidden="false" customHeight="false" outlineLevel="0" collapsed="false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6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 customFormat="false" ht="15.75" hidden="false" customHeight="false" outlineLevel="0" collapsed="false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6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 customFormat="false" ht="15.75" hidden="false" customHeight="false" outlineLevel="0" collapsed="false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 customFormat="false" ht="15.75" hidden="false" customHeight="false" outlineLevel="0" collapsed="false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6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 customFormat="false" ht="15.75" hidden="false" customHeight="false" outlineLevel="0" collapsed="false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6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 customFormat="false" ht="15.75" hidden="false" customHeight="false" outlineLevel="0" collapsed="false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 customFormat="false" ht="15.75" hidden="false" customHeight="false" outlineLevel="0" collapsed="false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6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 customFormat="false" ht="15.75" hidden="false" customHeight="false" outlineLevel="0" collapsed="false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6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 customFormat="false" ht="15.75" hidden="false" customHeight="false" outlineLevel="0" collapsed="false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 customFormat="false" ht="15.75" hidden="false" customHeight="false" outlineLevel="0" collapsed="false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6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 customFormat="false" ht="15.75" hidden="false" customHeight="false" outlineLevel="0" collapsed="false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6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 customFormat="false" ht="15.75" hidden="false" customHeight="false" outlineLevel="0" collapsed="false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 customFormat="false" ht="15.75" hidden="false" customHeight="false" outlineLevel="0" collapsed="false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6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 customFormat="false" ht="15.75" hidden="false" customHeight="false" outlineLevel="0" collapsed="false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6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 customFormat="false" ht="15.75" hidden="false" customHeight="false" outlineLevel="0" collapsed="false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 customFormat="false" ht="15.75" hidden="false" customHeight="false" outlineLevel="0" collapsed="false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6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 customFormat="false" ht="15.75" hidden="false" customHeight="false" outlineLevel="0" collapsed="false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6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 customFormat="false" ht="15.75" hidden="false" customHeight="false" outlineLevel="0" collapsed="false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6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 customFormat="false" ht="15.75" hidden="false" customHeight="false" outlineLevel="0" collapsed="false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6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 customFormat="false" ht="15.75" hidden="false" customHeight="false" outlineLevel="0" collapsed="false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6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 customFormat="false" ht="15.75" hidden="false" customHeight="false" outlineLevel="0" collapsed="false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6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 customFormat="false" ht="15.75" hidden="false" customHeight="false" outlineLevel="0" collapsed="false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6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 customFormat="false" ht="15.75" hidden="false" customHeight="false" outlineLevel="0" collapsed="false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6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 customFormat="false" ht="15.75" hidden="false" customHeight="false" outlineLevel="0" collapsed="false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 customFormat="false" ht="15.75" hidden="false" customHeight="false" outlineLevel="0" collapsed="false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6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 customFormat="false" ht="15.75" hidden="false" customHeight="false" outlineLevel="0" collapsed="false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6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 customFormat="false" ht="15.75" hidden="false" customHeight="false" outlineLevel="0" collapsed="false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 customFormat="false" ht="15.75" hidden="false" customHeight="false" outlineLevel="0" collapsed="false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6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 customFormat="false" ht="15.75" hidden="false" customHeight="false" outlineLevel="0" collapsed="false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6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 customFormat="false" ht="15.75" hidden="false" customHeight="false" outlineLevel="0" collapsed="false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 customFormat="false" ht="15.75" hidden="false" customHeight="false" outlineLevel="0" collapsed="false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6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 customFormat="false" ht="15.75" hidden="false" customHeight="false" outlineLevel="0" collapsed="false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6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 customFormat="false" ht="15.75" hidden="false" customHeight="false" outlineLevel="0" collapsed="false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6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 customFormat="false" ht="15.75" hidden="false" customHeight="false" outlineLevel="0" collapsed="false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6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 customFormat="false" ht="15.75" hidden="false" customHeight="false" outlineLevel="0" collapsed="false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6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 customFormat="false" ht="15.75" hidden="false" customHeight="false" outlineLevel="0" collapsed="false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 customFormat="false" ht="15.75" hidden="false" customHeight="false" outlineLevel="0" collapsed="false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6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 customFormat="false" ht="15.75" hidden="false" customHeight="false" outlineLevel="0" collapsed="false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6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 customFormat="false" ht="15.75" hidden="false" customHeight="false" outlineLevel="0" collapsed="false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 customFormat="false" ht="15.75" hidden="false" customHeight="false" outlineLevel="0" collapsed="false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6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 customFormat="false" ht="15.75" hidden="false" customHeight="false" outlineLevel="0" collapsed="false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6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 customFormat="false" ht="15.75" hidden="false" customHeight="false" outlineLevel="0" collapsed="false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 customFormat="false" ht="15.75" hidden="false" customHeight="false" outlineLevel="0" collapsed="false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6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 customFormat="false" ht="15.75" hidden="false" customHeight="false" outlineLevel="0" collapsed="false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6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 customFormat="false" ht="15.75" hidden="false" customHeight="false" outlineLevel="0" collapsed="false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 customFormat="false" ht="15.75" hidden="false" customHeight="false" outlineLevel="0" collapsed="false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6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 customFormat="false" ht="15.75" hidden="false" customHeight="false" outlineLevel="0" collapsed="false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6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 customFormat="false" ht="15.75" hidden="false" customHeight="false" outlineLevel="0" collapsed="false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6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 customFormat="false" ht="15.75" hidden="false" customHeight="false" outlineLevel="0" collapsed="false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6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 customFormat="false" ht="15.75" hidden="false" customHeight="false" outlineLevel="0" collapsed="false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6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 customFormat="false" ht="15.75" hidden="false" customHeight="false" outlineLevel="0" collapsed="false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6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 customFormat="false" ht="15.75" hidden="false" customHeight="false" outlineLevel="0" collapsed="false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6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 customFormat="false" ht="15.75" hidden="false" customHeight="false" outlineLevel="0" collapsed="false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6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 customFormat="false" ht="15.75" hidden="false" customHeight="false" outlineLevel="0" collapsed="false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6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</row>
    <row r="613" customFormat="false" ht="15.75" hidden="false" customHeight="false" outlineLevel="0" collapsed="false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6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</row>
    <row r="614" customFormat="false" ht="15.75" hidden="false" customHeight="false" outlineLevel="0" collapsed="false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6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</row>
    <row r="615" customFormat="false" ht="15.75" hidden="false" customHeight="false" outlineLevel="0" collapsed="false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6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 customFormat="false" ht="15.75" hidden="false" customHeight="false" outlineLevel="0" collapsed="false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6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 customFormat="false" ht="15.75" hidden="false" customHeight="false" outlineLevel="0" collapsed="false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6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 customFormat="false" ht="15.75" hidden="false" customHeight="false" outlineLevel="0" collapsed="false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6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 customFormat="false" ht="15.75" hidden="false" customHeight="false" outlineLevel="0" collapsed="false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6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 customFormat="false" ht="15.75" hidden="false" customHeight="false" outlineLevel="0" collapsed="false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6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 customFormat="false" ht="15.75" hidden="false" customHeight="false" outlineLevel="0" collapsed="false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6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 customFormat="false" ht="15.75" hidden="false" customHeight="false" outlineLevel="0" collapsed="false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6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 customFormat="false" ht="15.75" hidden="false" customHeight="false" outlineLevel="0" collapsed="false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6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 customFormat="false" ht="15.75" hidden="false" customHeight="false" outlineLevel="0" collapsed="false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6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 customFormat="false" ht="15.75" hidden="false" customHeight="false" outlineLevel="0" collapsed="false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6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 customFormat="false" ht="15.75" hidden="false" customHeight="false" outlineLevel="0" collapsed="false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6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 customFormat="false" ht="15.75" hidden="false" customHeight="false" outlineLevel="0" collapsed="false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6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 customFormat="false" ht="15.75" hidden="false" customHeight="false" outlineLevel="0" collapsed="false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6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 customFormat="false" ht="15.75" hidden="false" customHeight="false" outlineLevel="0" collapsed="false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6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 customFormat="false" ht="15.75" hidden="false" customHeight="false" outlineLevel="0" collapsed="false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6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 customFormat="false" ht="15.75" hidden="false" customHeight="false" outlineLevel="0" collapsed="false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6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 customFormat="false" ht="15.75" hidden="false" customHeight="false" outlineLevel="0" collapsed="false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6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 customFormat="false" ht="15.75" hidden="false" customHeight="false" outlineLevel="0" collapsed="false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6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 customFormat="false" ht="15.75" hidden="false" customHeight="false" outlineLevel="0" collapsed="false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6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 customFormat="false" ht="15.75" hidden="false" customHeight="false" outlineLevel="0" collapsed="false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6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 customFormat="false" ht="15.75" hidden="false" customHeight="false" outlineLevel="0" collapsed="false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6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</row>
    <row r="637" customFormat="false" ht="15.75" hidden="false" customHeight="false" outlineLevel="0" collapsed="false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6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</row>
    <row r="638" customFormat="false" ht="15.75" hidden="false" customHeight="false" outlineLevel="0" collapsed="false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6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</row>
    <row r="639" customFormat="false" ht="15.75" hidden="false" customHeight="false" outlineLevel="0" collapsed="false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6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 customFormat="false" ht="15.75" hidden="false" customHeight="false" outlineLevel="0" collapsed="false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6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 customFormat="false" ht="15.75" hidden="false" customHeight="false" outlineLevel="0" collapsed="false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6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</row>
    <row r="642" customFormat="false" ht="15.75" hidden="false" customHeight="false" outlineLevel="0" collapsed="false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6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</row>
    <row r="643" customFormat="false" ht="15.75" hidden="false" customHeight="false" outlineLevel="0" collapsed="false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6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</row>
    <row r="644" customFormat="false" ht="15.75" hidden="false" customHeight="false" outlineLevel="0" collapsed="false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6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 customFormat="false" ht="15.75" hidden="false" customHeight="false" outlineLevel="0" collapsed="false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6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 customFormat="false" ht="15.75" hidden="false" customHeight="false" outlineLevel="0" collapsed="false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6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 customFormat="false" ht="15.75" hidden="false" customHeight="false" outlineLevel="0" collapsed="false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6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 customFormat="false" ht="15.75" hidden="false" customHeight="false" outlineLevel="0" collapsed="false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6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 customFormat="false" ht="15.75" hidden="false" customHeight="false" outlineLevel="0" collapsed="false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6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 customFormat="false" ht="15.75" hidden="false" customHeight="false" outlineLevel="0" collapsed="false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6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 customFormat="false" ht="15.75" hidden="false" customHeight="false" outlineLevel="0" collapsed="false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6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</row>
    <row r="652" customFormat="false" ht="15.75" hidden="false" customHeight="false" outlineLevel="0" collapsed="false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6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</row>
    <row r="653" customFormat="false" ht="15.75" hidden="false" customHeight="false" outlineLevel="0" collapsed="false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6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</row>
    <row r="654" customFormat="false" ht="15.75" hidden="false" customHeight="false" outlineLevel="0" collapsed="false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6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 customFormat="false" ht="15.75" hidden="false" customHeight="false" outlineLevel="0" collapsed="false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6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 customFormat="false" ht="15.75" hidden="false" customHeight="false" outlineLevel="0" collapsed="false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6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 customFormat="false" ht="15.75" hidden="false" customHeight="false" outlineLevel="0" collapsed="false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6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</row>
    <row r="658" customFormat="false" ht="15.75" hidden="false" customHeight="false" outlineLevel="0" collapsed="false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6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 customFormat="false" ht="15.75" hidden="false" customHeight="false" outlineLevel="0" collapsed="false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6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</row>
    <row r="660" customFormat="false" ht="15.75" hidden="false" customHeight="false" outlineLevel="0" collapsed="false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6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</row>
    <row r="661" customFormat="false" ht="15.75" hidden="false" customHeight="false" outlineLevel="0" collapsed="false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6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</row>
    <row r="662" customFormat="false" ht="15.75" hidden="false" customHeight="false" outlineLevel="0" collapsed="false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6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</row>
    <row r="663" customFormat="false" ht="15.75" hidden="false" customHeight="false" outlineLevel="0" collapsed="false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6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 customFormat="false" ht="15.75" hidden="false" customHeight="false" outlineLevel="0" collapsed="false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6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</row>
    <row r="665" customFormat="false" ht="15.75" hidden="false" customHeight="false" outlineLevel="0" collapsed="false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6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</row>
    <row r="666" customFormat="false" ht="15.75" hidden="false" customHeight="false" outlineLevel="0" collapsed="false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6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</row>
    <row r="667" customFormat="false" ht="15.75" hidden="false" customHeight="false" outlineLevel="0" collapsed="false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6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</row>
    <row r="668" customFormat="false" ht="15.75" hidden="false" customHeight="false" outlineLevel="0" collapsed="false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6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 customFormat="false" ht="15.75" hidden="false" customHeight="false" outlineLevel="0" collapsed="false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6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</row>
    <row r="670" customFormat="false" ht="15.75" hidden="false" customHeight="false" outlineLevel="0" collapsed="false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6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 customFormat="false" ht="15.75" hidden="false" customHeight="false" outlineLevel="0" collapsed="false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6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</row>
    <row r="672" customFormat="false" ht="15.75" hidden="false" customHeight="false" outlineLevel="0" collapsed="false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6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</row>
    <row r="673" customFormat="false" ht="15.75" hidden="false" customHeight="false" outlineLevel="0" collapsed="false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6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</row>
    <row r="674" customFormat="false" ht="15.75" hidden="false" customHeight="false" outlineLevel="0" collapsed="false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6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</row>
    <row r="675" customFormat="false" ht="15.75" hidden="false" customHeight="false" outlineLevel="0" collapsed="false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6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 customFormat="false" ht="15.75" hidden="false" customHeight="false" outlineLevel="0" collapsed="false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6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 customFormat="false" ht="15.75" hidden="false" customHeight="false" outlineLevel="0" collapsed="false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6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 customFormat="false" ht="15.75" hidden="false" customHeight="false" outlineLevel="0" collapsed="false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6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 customFormat="false" ht="15.75" hidden="false" customHeight="false" outlineLevel="0" collapsed="false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6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 customFormat="false" ht="15.75" hidden="false" customHeight="false" outlineLevel="0" collapsed="false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6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 customFormat="false" ht="15.75" hidden="false" customHeight="false" outlineLevel="0" collapsed="false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6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 customFormat="false" ht="15.75" hidden="false" customHeight="false" outlineLevel="0" collapsed="false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6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 customFormat="false" ht="15.75" hidden="false" customHeight="false" outlineLevel="0" collapsed="false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6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 customFormat="false" ht="15.75" hidden="false" customHeight="false" outlineLevel="0" collapsed="false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6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 customFormat="false" ht="15.75" hidden="false" customHeight="false" outlineLevel="0" collapsed="false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6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 customFormat="false" ht="15.75" hidden="false" customHeight="false" outlineLevel="0" collapsed="false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6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 customFormat="false" ht="15.75" hidden="false" customHeight="false" outlineLevel="0" collapsed="false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6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 customFormat="false" ht="15.75" hidden="false" customHeight="false" outlineLevel="0" collapsed="false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6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 customFormat="false" ht="15.75" hidden="false" customHeight="false" outlineLevel="0" collapsed="false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6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 customFormat="false" ht="15.75" hidden="false" customHeight="false" outlineLevel="0" collapsed="false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6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 customFormat="false" ht="15.75" hidden="false" customHeight="false" outlineLevel="0" collapsed="false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6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 customFormat="false" ht="15.75" hidden="false" customHeight="false" outlineLevel="0" collapsed="false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6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</row>
    <row r="693" customFormat="false" ht="15.75" hidden="false" customHeight="false" outlineLevel="0" collapsed="false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6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 customFormat="false" ht="15.75" hidden="false" customHeight="false" outlineLevel="0" collapsed="false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6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 customFormat="false" ht="15.75" hidden="false" customHeight="false" outlineLevel="0" collapsed="false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6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</row>
    <row r="696" customFormat="false" ht="15.75" hidden="false" customHeight="false" outlineLevel="0" collapsed="false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6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</row>
    <row r="697" customFormat="false" ht="15.75" hidden="false" customHeight="false" outlineLevel="0" collapsed="false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6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 customFormat="false" ht="15.75" hidden="false" customHeight="false" outlineLevel="0" collapsed="false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6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 customFormat="false" ht="15.75" hidden="false" customHeight="false" outlineLevel="0" collapsed="false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6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 customFormat="false" ht="15.75" hidden="false" customHeight="false" outlineLevel="0" collapsed="false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6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 customFormat="false" ht="15.75" hidden="false" customHeight="false" outlineLevel="0" collapsed="false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6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 customFormat="false" ht="15.75" hidden="false" customHeight="false" outlineLevel="0" collapsed="false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6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 customFormat="false" ht="15.75" hidden="false" customHeight="false" outlineLevel="0" collapsed="false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6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 customFormat="false" ht="15.75" hidden="false" customHeight="false" outlineLevel="0" collapsed="false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6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 customFormat="false" ht="15.75" hidden="false" customHeight="false" outlineLevel="0" collapsed="false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6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 customFormat="false" ht="15.75" hidden="false" customHeight="false" outlineLevel="0" collapsed="false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6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 customFormat="false" ht="15.75" hidden="false" customHeight="false" outlineLevel="0" collapsed="false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6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 customFormat="false" ht="15.75" hidden="false" customHeight="false" outlineLevel="0" collapsed="false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6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 customFormat="false" ht="15.75" hidden="false" customHeight="false" outlineLevel="0" collapsed="false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6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 customFormat="false" ht="15.75" hidden="false" customHeight="false" outlineLevel="0" collapsed="false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6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 customFormat="false" ht="15.75" hidden="false" customHeight="false" outlineLevel="0" collapsed="false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6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 customFormat="false" ht="15.75" hidden="false" customHeight="false" outlineLevel="0" collapsed="false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6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 customFormat="false" ht="15.75" hidden="false" customHeight="false" outlineLevel="0" collapsed="false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6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 customFormat="false" ht="15.75" hidden="false" customHeight="false" outlineLevel="0" collapsed="false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6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 customFormat="false" ht="15.75" hidden="false" customHeight="false" outlineLevel="0" collapsed="false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6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 customFormat="false" ht="15.75" hidden="false" customHeight="false" outlineLevel="0" collapsed="false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6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 customFormat="false" ht="15.75" hidden="false" customHeight="false" outlineLevel="0" collapsed="false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6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 customFormat="false" ht="15.75" hidden="false" customHeight="false" outlineLevel="0" collapsed="false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6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 customFormat="false" ht="15.75" hidden="false" customHeight="false" outlineLevel="0" collapsed="false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6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 customFormat="false" ht="15.75" hidden="false" customHeight="false" outlineLevel="0" collapsed="false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6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 customFormat="false" ht="15.75" hidden="false" customHeight="false" outlineLevel="0" collapsed="false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6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 customFormat="false" ht="15.75" hidden="false" customHeight="false" outlineLevel="0" collapsed="false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6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 customFormat="false" ht="15.75" hidden="false" customHeight="false" outlineLevel="0" collapsed="false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6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 customFormat="false" ht="15.75" hidden="false" customHeight="false" outlineLevel="0" collapsed="false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6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 customFormat="false" ht="15.75" hidden="false" customHeight="false" outlineLevel="0" collapsed="false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6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 customFormat="false" ht="15.75" hidden="false" customHeight="false" outlineLevel="0" collapsed="false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6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 customFormat="false" ht="15.75" hidden="false" customHeight="false" outlineLevel="0" collapsed="false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6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 customFormat="false" ht="15.75" hidden="false" customHeight="false" outlineLevel="0" collapsed="false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6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 customFormat="false" ht="15.75" hidden="false" customHeight="false" outlineLevel="0" collapsed="false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6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 customFormat="false" ht="15.75" hidden="false" customHeight="false" outlineLevel="0" collapsed="false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6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 customFormat="false" ht="15.75" hidden="false" customHeight="false" outlineLevel="0" collapsed="false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6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 customFormat="false" ht="15.75" hidden="false" customHeight="false" outlineLevel="0" collapsed="false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6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 customFormat="false" ht="15.75" hidden="false" customHeight="false" outlineLevel="0" collapsed="false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6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 customFormat="false" ht="15.75" hidden="false" customHeight="false" outlineLevel="0" collapsed="false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6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 customFormat="false" ht="15.75" hidden="false" customHeight="false" outlineLevel="0" collapsed="false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6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 customFormat="false" ht="15.75" hidden="false" customHeight="false" outlineLevel="0" collapsed="false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6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 customFormat="false" ht="15.75" hidden="false" customHeight="false" outlineLevel="0" collapsed="false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6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 customFormat="false" ht="15.75" hidden="false" customHeight="false" outlineLevel="0" collapsed="false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6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 customFormat="false" ht="15.75" hidden="false" customHeight="false" outlineLevel="0" collapsed="false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6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 customFormat="false" ht="15.75" hidden="false" customHeight="false" outlineLevel="0" collapsed="false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6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 customFormat="false" ht="15.75" hidden="false" customHeight="false" outlineLevel="0" collapsed="false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6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 customFormat="false" ht="15.75" hidden="false" customHeight="false" outlineLevel="0" collapsed="false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6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 customFormat="false" ht="15.75" hidden="false" customHeight="false" outlineLevel="0" collapsed="false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6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 customFormat="false" ht="15.75" hidden="false" customHeight="false" outlineLevel="0" collapsed="false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6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 customFormat="false" ht="15.75" hidden="false" customHeight="false" outlineLevel="0" collapsed="false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6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 customFormat="false" ht="15.75" hidden="false" customHeight="false" outlineLevel="0" collapsed="false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6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 customFormat="false" ht="15.75" hidden="false" customHeight="false" outlineLevel="0" collapsed="false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6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 customFormat="false" ht="15.75" hidden="false" customHeight="false" outlineLevel="0" collapsed="false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6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 customFormat="false" ht="15.75" hidden="false" customHeight="false" outlineLevel="0" collapsed="false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6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 customFormat="false" ht="15.75" hidden="false" customHeight="false" outlineLevel="0" collapsed="false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6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 customFormat="false" ht="15.75" hidden="false" customHeight="false" outlineLevel="0" collapsed="false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6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 customFormat="false" ht="15.75" hidden="false" customHeight="false" outlineLevel="0" collapsed="false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6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 customFormat="false" ht="15.75" hidden="false" customHeight="false" outlineLevel="0" collapsed="false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6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 customFormat="false" ht="15.75" hidden="false" customHeight="false" outlineLevel="0" collapsed="false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6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 customFormat="false" ht="15.75" hidden="false" customHeight="false" outlineLevel="0" collapsed="false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6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 customFormat="false" ht="15.75" hidden="false" customHeight="false" outlineLevel="0" collapsed="false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6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 customFormat="false" ht="15.75" hidden="false" customHeight="false" outlineLevel="0" collapsed="false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6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 customFormat="false" ht="15.75" hidden="false" customHeight="false" outlineLevel="0" collapsed="false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6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 customFormat="false" ht="15.75" hidden="false" customHeight="false" outlineLevel="0" collapsed="false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6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 customFormat="false" ht="15.75" hidden="false" customHeight="false" outlineLevel="0" collapsed="false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6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 customFormat="false" ht="15.75" hidden="false" customHeight="false" outlineLevel="0" collapsed="false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6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 customFormat="false" ht="15.75" hidden="false" customHeight="false" outlineLevel="0" collapsed="false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6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 customFormat="false" ht="15.75" hidden="false" customHeight="false" outlineLevel="0" collapsed="false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6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 customFormat="false" ht="15.75" hidden="false" customHeight="false" outlineLevel="0" collapsed="false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6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 customFormat="false" ht="15.75" hidden="false" customHeight="false" outlineLevel="0" collapsed="false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6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 customFormat="false" ht="15.75" hidden="false" customHeight="false" outlineLevel="0" collapsed="false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6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 customFormat="false" ht="15.75" hidden="false" customHeight="false" outlineLevel="0" collapsed="false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6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 customFormat="false" ht="15.75" hidden="false" customHeight="false" outlineLevel="0" collapsed="false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6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 customFormat="false" ht="15.75" hidden="false" customHeight="false" outlineLevel="0" collapsed="false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6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 customFormat="false" ht="15.75" hidden="false" customHeight="false" outlineLevel="0" collapsed="false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6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 customFormat="false" ht="15.75" hidden="false" customHeight="false" outlineLevel="0" collapsed="false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6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 customFormat="false" ht="15.75" hidden="false" customHeight="false" outlineLevel="0" collapsed="false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6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 customFormat="false" ht="15.75" hidden="false" customHeight="false" outlineLevel="0" collapsed="false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6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 customFormat="false" ht="15.75" hidden="false" customHeight="false" outlineLevel="0" collapsed="false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6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 customFormat="false" ht="15.75" hidden="false" customHeight="false" outlineLevel="0" collapsed="false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6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 customFormat="false" ht="15.75" hidden="false" customHeight="false" outlineLevel="0" collapsed="false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6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 customFormat="false" ht="15.75" hidden="false" customHeight="false" outlineLevel="0" collapsed="false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6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 customFormat="false" ht="15.75" hidden="false" customHeight="false" outlineLevel="0" collapsed="false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6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 customFormat="false" ht="15.75" hidden="false" customHeight="false" outlineLevel="0" collapsed="false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6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 customFormat="false" ht="15.75" hidden="false" customHeight="false" outlineLevel="0" collapsed="false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6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 customFormat="false" ht="15.75" hidden="false" customHeight="false" outlineLevel="0" collapsed="false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6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 customFormat="false" ht="15.75" hidden="false" customHeight="false" outlineLevel="0" collapsed="false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6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 customFormat="false" ht="15.75" hidden="false" customHeight="false" outlineLevel="0" collapsed="false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6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 customFormat="false" ht="15.75" hidden="false" customHeight="false" outlineLevel="0" collapsed="false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6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 customFormat="false" ht="15.75" hidden="false" customHeight="false" outlineLevel="0" collapsed="false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6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 customFormat="false" ht="15.75" hidden="false" customHeight="false" outlineLevel="0" collapsed="false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6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 customFormat="false" ht="15.75" hidden="false" customHeight="false" outlineLevel="0" collapsed="false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6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 customFormat="false" ht="15.75" hidden="false" customHeight="false" outlineLevel="0" collapsed="false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6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 customFormat="false" ht="15.75" hidden="false" customHeight="false" outlineLevel="0" collapsed="false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6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 customFormat="false" ht="15.75" hidden="false" customHeight="false" outlineLevel="0" collapsed="false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6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 customFormat="false" ht="15.75" hidden="false" customHeight="false" outlineLevel="0" collapsed="false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6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 customFormat="false" ht="15.75" hidden="false" customHeight="false" outlineLevel="0" collapsed="false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6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 customFormat="false" ht="15.75" hidden="false" customHeight="false" outlineLevel="0" collapsed="false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6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 customFormat="false" ht="15.75" hidden="false" customHeight="false" outlineLevel="0" collapsed="false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6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 customFormat="false" ht="15.75" hidden="false" customHeight="false" outlineLevel="0" collapsed="false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6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 customFormat="false" ht="15.75" hidden="false" customHeight="false" outlineLevel="0" collapsed="false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6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 customFormat="false" ht="15.75" hidden="false" customHeight="false" outlineLevel="0" collapsed="false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6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 customFormat="false" ht="15.75" hidden="false" customHeight="false" outlineLevel="0" collapsed="false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6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 customFormat="false" ht="15.75" hidden="false" customHeight="false" outlineLevel="0" collapsed="false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6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 customFormat="false" ht="15.75" hidden="false" customHeight="false" outlineLevel="0" collapsed="false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6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 customFormat="false" ht="15.75" hidden="false" customHeight="false" outlineLevel="0" collapsed="false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6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 customFormat="false" ht="15.75" hidden="false" customHeight="false" outlineLevel="0" collapsed="false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6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 customFormat="false" ht="15.75" hidden="false" customHeight="false" outlineLevel="0" collapsed="false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6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 customFormat="false" ht="15.75" hidden="false" customHeight="false" outlineLevel="0" collapsed="false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6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 customFormat="false" ht="15.75" hidden="false" customHeight="false" outlineLevel="0" collapsed="false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6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 customFormat="false" ht="15.75" hidden="false" customHeight="false" outlineLevel="0" collapsed="false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6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 customFormat="false" ht="15.75" hidden="false" customHeight="false" outlineLevel="0" collapsed="false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6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 customFormat="false" ht="15.75" hidden="false" customHeight="false" outlineLevel="0" collapsed="false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6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 customFormat="false" ht="15.75" hidden="false" customHeight="false" outlineLevel="0" collapsed="false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6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 customFormat="false" ht="15.75" hidden="false" customHeight="false" outlineLevel="0" collapsed="false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6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 customFormat="false" ht="15.75" hidden="false" customHeight="false" outlineLevel="0" collapsed="false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6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 customFormat="false" ht="15.75" hidden="false" customHeight="false" outlineLevel="0" collapsed="false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6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 customFormat="false" ht="15.75" hidden="false" customHeight="false" outlineLevel="0" collapsed="false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6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 customFormat="false" ht="15.75" hidden="false" customHeight="false" outlineLevel="0" collapsed="false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6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 customFormat="false" ht="15.75" hidden="false" customHeight="false" outlineLevel="0" collapsed="false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6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 customFormat="false" ht="15.75" hidden="false" customHeight="false" outlineLevel="0" collapsed="false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6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 customFormat="false" ht="15.75" hidden="false" customHeight="false" outlineLevel="0" collapsed="false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6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 customFormat="false" ht="15.75" hidden="false" customHeight="false" outlineLevel="0" collapsed="false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6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 customFormat="false" ht="15.75" hidden="false" customHeight="false" outlineLevel="0" collapsed="false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6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 customFormat="false" ht="15.75" hidden="false" customHeight="false" outlineLevel="0" collapsed="false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6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 customFormat="false" ht="15.75" hidden="false" customHeight="false" outlineLevel="0" collapsed="false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6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 customFormat="false" ht="15.75" hidden="false" customHeight="false" outlineLevel="0" collapsed="false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6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 customFormat="false" ht="15.75" hidden="false" customHeight="false" outlineLevel="0" collapsed="false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6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 customFormat="false" ht="15.75" hidden="false" customHeight="false" outlineLevel="0" collapsed="false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6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 customFormat="false" ht="15.75" hidden="false" customHeight="false" outlineLevel="0" collapsed="false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6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 customFormat="false" ht="15.75" hidden="false" customHeight="false" outlineLevel="0" collapsed="false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6"/>
      <c r="L826" s="44"/>
      <c r="M826" s="44"/>
    </row>
    <row r="827" customFormat="false" ht="15.75" hidden="false" customHeight="false" outlineLevel="0" collapsed="false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6"/>
      <c r="L827" s="44"/>
      <c r="M827" s="44"/>
    </row>
    <row r="828" customFormat="false" ht="15.75" hidden="false" customHeight="false" outlineLevel="0" collapsed="false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6"/>
      <c r="L828" s="44"/>
      <c r="M828" s="44"/>
    </row>
    <row r="829" customFormat="false" ht="15.75" hidden="false" customHeight="false" outlineLevel="0" collapsed="false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6"/>
      <c r="L829" s="44"/>
      <c r="M829" s="44"/>
    </row>
    <row r="830" customFormat="false" ht="15.75" hidden="false" customHeight="false" outlineLevel="0" collapsed="false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6"/>
      <c r="L830" s="44"/>
      <c r="M830" s="44"/>
    </row>
    <row r="831" customFormat="false" ht="15.75" hidden="false" customHeight="false" outlineLevel="0" collapsed="false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6"/>
      <c r="L831" s="44"/>
      <c r="M831" s="44"/>
    </row>
    <row r="832" customFormat="false" ht="15.75" hidden="false" customHeight="false" outlineLevel="0" collapsed="false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6"/>
      <c r="L832" s="44"/>
      <c r="M832" s="44"/>
    </row>
    <row r="833" customFormat="false" ht="15.75" hidden="false" customHeight="false" outlineLevel="0" collapsed="false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6"/>
      <c r="L833" s="44"/>
      <c r="M833" s="44"/>
    </row>
    <row r="834" customFormat="false" ht="15.75" hidden="false" customHeight="false" outlineLevel="0" collapsed="false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6"/>
      <c r="L834" s="44"/>
      <c r="M834" s="44"/>
    </row>
    <row r="835" customFormat="false" ht="15.75" hidden="false" customHeight="false" outlineLevel="0" collapsed="false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6"/>
      <c r="L835" s="44"/>
      <c r="M835" s="44"/>
    </row>
    <row r="836" customFormat="false" ht="15.75" hidden="false" customHeight="false" outlineLevel="0" collapsed="false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6"/>
      <c r="L836" s="44"/>
      <c r="M836" s="44"/>
    </row>
    <row r="837" customFormat="false" ht="15.75" hidden="false" customHeight="false" outlineLevel="0" collapsed="false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6"/>
      <c r="L837" s="44"/>
      <c r="M837" s="44"/>
    </row>
    <row r="838" customFormat="false" ht="15.75" hidden="false" customHeight="false" outlineLevel="0" collapsed="false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6"/>
      <c r="L838" s="44"/>
      <c r="M838" s="44"/>
    </row>
    <row r="839" customFormat="false" ht="15.75" hidden="false" customHeight="false" outlineLevel="0" collapsed="false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6"/>
      <c r="L839" s="44"/>
      <c r="M839" s="44"/>
    </row>
    <row r="840" customFormat="false" ht="15.75" hidden="false" customHeight="false" outlineLevel="0" collapsed="false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6"/>
      <c r="L840" s="44"/>
      <c r="M840" s="44"/>
    </row>
    <row r="841" customFormat="false" ht="15.75" hidden="false" customHeight="false" outlineLevel="0" collapsed="false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6"/>
      <c r="L841" s="44"/>
      <c r="M841" s="44"/>
    </row>
    <row r="842" customFormat="false" ht="15.75" hidden="false" customHeight="false" outlineLevel="0" collapsed="false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6"/>
      <c r="L842" s="44"/>
      <c r="M842" s="44"/>
    </row>
    <row r="843" customFormat="false" ht="15.75" hidden="false" customHeight="false" outlineLevel="0" collapsed="false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6"/>
      <c r="L843" s="44"/>
      <c r="M843" s="44"/>
    </row>
    <row r="844" customFormat="false" ht="15.75" hidden="false" customHeight="false" outlineLevel="0" collapsed="false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6"/>
      <c r="L844" s="44"/>
      <c r="M844" s="44"/>
    </row>
    <row r="845" customFormat="false" ht="15.75" hidden="false" customHeight="false" outlineLevel="0" collapsed="false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6"/>
      <c r="L845" s="44"/>
      <c r="M845" s="44"/>
    </row>
    <row r="846" customFormat="false" ht="15.75" hidden="false" customHeight="false" outlineLevel="0" collapsed="false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6"/>
      <c r="L846" s="44"/>
      <c r="M846" s="44"/>
    </row>
    <row r="847" customFormat="false" ht="15.75" hidden="false" customHeight="false" outlineLevel="0" collapsed="false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6"/>
      <c r="L847" s="44"/>
      <c r="M847" s="44"/>
    </row>
    <row r="848" customFormat="false" ht="15.75" hidden="false" customHeight="false" outlineLevel="0" collapsed="false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6"/>
      <c r="L848" s="44"/>
      <c r="M848" s="44"/>
    </row>
    <row r="849" customFormat="false" ht="15.75" hidden="false" customHeight="false" outlineLevel="0" collapsed="false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6"/>
      <c r="L849" s="44"/>
      <c r="M849" s="44"/>
    </row>
    <row r="850" customFormat="false" ht="15.75" hidden="false" customHeight="false" outlineLevel="0" collapsed="false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6"/>
      <c r="L850" s="44"/>
      <c r="M850" s="44"/>
    </row>
    <row r="851" customFormat="false" ht="15.75" hidden="false" customHeight="false" outlineLevel="0" collapsed="false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6"/>
      <c r="L851" s="44"/>
      <c r="M851" s="44"/>
    </row>
    <row r="852" customFormat="false" ht="15.75" hidden="false" customHeight="false" outlineLevel="0" collapsed="false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6"/>
      <c r="L852" s="44"/>
      <c r="M852" s="44"/>
    </row>
    <row r="853" customFormat="false" ht="15.75" hidden="false" customHeight="false" outlineLevel="0" collapsed="false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6"/>
      <c r="L853" s="44"/>
      <c r="M853" s="44"/>
    </row>
    <row r="854" customFormat="false" ht="15.75" hidden="false" customHeight="false" outlineLevel="0" collapsed="false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6"/>
      <c r="L854" s="44"/>
      <c r="M854" s="44"/>
    </row>
    <row r="855" customFormat="false" ht="15.75" hidden="false" customHeight="false" outlineLevel="0" collapsed="false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6"/>
      <c r="L855" s="44"/>
      <c r="M855" s="44"/>
    </row>
    <row r="856" customFormat="false" ht="15.75" hidden="false" customHeight="false" outlineLevel="0" collapsed="false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6"/>
      <c r="L856" s="44"/>
      <c r="M856" s="44"/>
    </row>
    <row r="857" customFormat="false" ht="15.75" hidden="false" customHeight="false" outlineLevel="0" collapsed="false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6"/>
      <c r="L857" s="44"/>
      <c r="M857" s="44"/>
    </row>
    <row r="858" customFormat="false" ht="15.75" hidden="false" customHeight="false" outlineLevel="0" collapsed="false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6"/>
      <c r="L858" s="44"/>
      <c r="M858" s="44"/>
    </row>
    <row r="859" customFormat="false" ht="15.75" hidden="false" customHeight="false" outlineLevel="0" collapsed="false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6"/>
      <c r="L859" s="44"/>
      <c r="M859" s="44"/>
    </row>
    <row r="860" customFormat="false" ht="15.75" hidden="false" customHeight="false" outlineLevel="0" collapsed="false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6"/>
      <c r="L860" s="44"/>
      <c r="M860" s="44"/>
    </row>
    <row r="861" customFormat="false" ht="15.75" hidden="false" customHeight="false" outlineLevel="0" collapsed="false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6"/>
      <c r="L861" s="44"/>
      <c r="M861" s="44"/>
    </row>
    <row r="862" customFormat="false" ht="15.75" hidden="false" customHeight="false" outlineLevel="0" collapsed="false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6"/>
      <c r="L862" s="44"/>
      <c r="M862" s="44"/>
    </row>
    <row r="863" customFormat="false" ht="15.75" hidden="false" customHeight="false" outlineLevel="0" collapsed="false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6"/>
      <c r="L863" s="44"/>
      <c r="M863" s="44"/>
    </row>
    <row r="864" customFormat="false" ht="15.75" hidden="false" customHeight="false" outlineLevel="0" collapsed="false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6"/>
      <c r="L864" s="44"/>
      <c r="M864" s="44"/>
    </row>
    <row r="865" customFormat="false" ht="15.75" hidden="false" customHeight="false" outlineLevel="0" collapsed="false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6"/>
      <c r="L865" s="44"/>
      <c r="M865" s="44"/>
    </row>
    <row r="866" customFormat="false" ht="15.75" hidden="false" customHeight="false" outlineLevel="0" collapsed="false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6"/>
      <c r="L866" s="44"/>
      <c r="M866" s="44"/>
    </row>
    <row r="867" customFormat="false" ht="15.75" hidden="false" customHeight="false" outlineLevel="0" collapsed="false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6"/>
      <c r="L867" s="44"/>
      <c r="M867" s="44"/>
    </row>
    <row r="868" customFormat="false" ht="15.75" hidden="false" customHeight="false" outlineLevel="0" collapsed="false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6"/>
      <c r="L868" s="44"/>
      <c r="M868" s="44"/>
    </row>
    <row r="869" customFormat="false" ht="15.75" hidden="false" customHeight="false" outlineLevel="0" collapsed="false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6"/>
      <c r="L869" s="44"/>
      <c r="M869" s="44"/>
    </row>
    <row r="870" customFormat="false" ht="15.75" hidden="false" customHeight="false" outlineLevel="0" collapsed="false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6"/>
      <c r="L870" s="44"/>
      <c r="M870" s="44"/>
    </row>
    <row r="871" customFormat="false" ht="15.75" hidden="false" customHeight="false" outlineLevel="0" collapsed="false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6"/>
      <c r="L871" s="44"/>
      <c r="M871" s="44"/>
    </row>
    <row r="872" customFormat="false" ht="15.75" hidden="false" customHeight="false" outlineLevel="0" collapsed="false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6"/>
      <c r="L872" s="44"/>
      <c r="M872" s="44"/>
    </row>
    <row r="873" customFormat="false" ht="15.75" hidden="false" customHeight="false" outlineLevel="0" collapsed="false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6"/>
      <c r="L873" s="44"/>
      <c r="M873" s="44"/>
    </row>
    <row r="874" customFormat="false" ht="15.75" hidden="false" customHeight="false" outlineLevel="0" collapsed="false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6"/>
      <c r="L874" s="44"/>
      <c r="M874" s="44"/>
    </row>
    <row r="875" customFormat="false" ht="15.75" hidden="false" customHeight="false" outlineLevel="0" collapsed="false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6"/>
      <c r="L875" s="44"/>
      <c r="M875" s="44"/>
    </row>
    <row r="876" customFormat="false" ht="15.75" hidden="false" customHeight="false" outlineLevel="0" collapsed="false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6"/>
      <c r="L876" s="44"/>
      <c r="M876" s="44"/>
    </row>
    <row r="877" customFormat="false" ht="15.75" hidden="false" customHeight="false" outlineLevel="0" collapsed="false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6"/>
      <c r="L877" s="44"/>
      <c r="M877" s="44"/>
    </row>
    <row r="878" customFormat="false" ht="15.75" hidden="false" customHeight="false" outlineLevel="0" collapsed="false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6"/>
      <c r="L878" s="44"/>
      <c r="M878" s="44"/>
    </row>
    <row r="879" customFormat="false" ht="15.75" hidden="false" customHeight="false" outlineLevel="0" collapsed="false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6"/>
      <c r="L879" s="44"/>
      <c r="M879" s="44"/>
    </row>
    <row r="880" customFormat="false" ht="15.75" hidden="false" customHeight="false" outlineLevel="0" collapsed="false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6"/>
      <c r="L880" s="44"/>
      <c r="M880" s="44"/>
    </row>
    <row r="881" customFormat="false" ht="15.75" hidden="false" customHeight="false" outlineLevel="0" collapsed="false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6"/>
      <c r="L881" s="44"/>
      <c r="M881" s="44"/>
    </row>
    <row r="882" customFormat="false" ht="15.75" hidden="false" customHeight="false" outlineLevel="0" collapsed="false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6"/>
      <c r="L882" s="44"/>
      <c r="M882" s="44"/>
    </row>
    <row r="883" customFormat="false" ht="15.75" hidden="false" customHeight="false" outlineLevel="0" collapsed="false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6"/>
      <c r="L883" s="44"/>
      <c r="M883" s="44"/>
    </row>
    <row r="884" customFormat="false" ht="15.75" hidden="false" customHeight="false" outlineLevel="0" collapsed="false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6"/>
      <c r="L884" s="44"/>
      <c r="M884" s="44"/>
    </row>
    <row r="885" customFormat="false" ht="15.75" hidden="false" customHeight="false" outlineLevel="0" collapsed="false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6"/>
      <c r="L885" s="44"/>
      <c r="M885" s="44"/>
    </row>
    <row r="886" customFormat="false" ht="15.75" hidden="false" customHeight="false" outlineLevel="0" collapsed="false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6"/>
      <c r="L886" s="44"/>
      <c r="M886" s="44"/>
    </row>
    <row r="887" customFormat="false" ht="15.75" hidden="false" customHeight="false" outlineLevel="0" collapsed="false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6"/>
      <c r="L887" s="44"/>
      <c r="M887" s="44"/>
    </row>
    <row r="888" customFormat="false" ht="15.75" hidden="false" customHeight="false" outlineLevel="0" collapsed="false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6"/>
      <c r="L888" s="44"/>
      <c r="M888" s="44"/>
    </row>
    <row r="889" customFormat="false" ht="15.75" hidden="false" customHeight="false" outlineLevel="0" collapsed="false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6"/>
      <c r="L889" s="44"/>
      <c r="M889" s="44"/>
    </row>
    <row r="890" customFormat="false" ht="15.75" hidden="false" customHeight="false" outlineLevel="0" collapsed="false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6"/>
      <c r="L890" s="44"/>
      <c r="M890" s="44"/>
    </row>
    <row r="891" customFormat="false" ht="15.75" hidden="false" customHeight="false" outlineLevel="0" collapsed="false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6"/>
      <c r="L891" s="44"/>
      <c r="M891" s="44"/>
    </row>
    <row r="892" customFormat="false" ht="15.75" hidden="false" customHeight="false" outlineLevel="0" collapsed="false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6"/>
      <c r="L892" s="44"/>
      <c r="M892" s="44"/>
    </row>
    <row r="893" customFormat="false" ht="15.75" hidden="false" customHeight="false" outlineLevel="0" collapsed="false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6"/>
      <c r="L893" s="44"/>
      <c r="M893" s="44"/>
    </row>
    <row r="894" customFormat="false" ht="15.75" hidden="false" customHeight="false" outlineLevel="0" collapsed="false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6"/>
      <c r="L894" s="44"/>
      <c r="M894" s="44"/>
    </row>
    <row r="895" customFormat="false" ht="15.75" hidden="false" customHeight="false" outlineLevel="0" collapsed="false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6"/>
      <c r="L895" s="44"/>
      <c r="M895" s="44"/>
    </row>
    <row r="896" customFormat="false" ht="15.75" hidden="false" customHeight="false" outlineLevel="0" collapsed="false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6"/>
      <c r="L896" s="44"/>
      <c r="M896" s="44"/>
    </row>
    <row r="897" customFormat="false" ht="15.75" hidden="false" customHeight="false" outlineLevel="0" collapsed="false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6"/>
      <c r="L897" s="44"/>
      <c r="M897" s="44"/>
    </row>
    <row r="898" customFormat="false" ht="15.75" hidden="false" customHeight="false" outlineLevel="0" collapsed="false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6"/>
      <c r="L898" s="44"/>
      <c r="M898" s="44"/>
    </row>
    <row r="899" customFormat="false" ht="15.75" hidden="false" customHeight="false" outlineLevel="0" collapsed="false">
      <c r="B899" s="44"/>
      <c r="K899" s="46"/>
    </row>
    <row r="900" customFormat="false" ht="15.75" hidden="false" customHeight="false" outlineLevel="0" collapsed="false">
      <c r="B900" s="44"/>
      <c r="K900" s="46"/>
    </row>
    <row r="901" customFormat="false" ht="15.75" hidden="false" customHeight="false" outlineLevel="0" collapsed="false">
      <c r="B901" s="44"/>
      <c r="K901" s="46"/>
    </row>
    <row r="902" customFormat="false" ht="15.75" hidden="false" customHeight="false" outlineLevel="0" collapsed="false">
      <c r="B902" s="44"/>
      <c r="K902" s="46"/>
    </row>
    <row r="903" customFormat="false" ht="15.75" hidden="false" customHeight="false" outlineLevel="0" collapsed="false">
      <c r="B903" s="44"/>
      <c r="K903" s="46"/>
    </row>
    <row r="904" customFormat="false" ht="15.75" hidden="false" customHeight="false" outlineLevel="0" collapsed="false">
      <c r="B904" s="44"/>
      <c r="K904" s="46"/>
    </row>
    <row r="905" customFormat="false" ht="15.75" hidden="false" customHeight="false" outlineLevel="0" collapsed="false">
      <c r="B905" s="44"/>
      <c r="K905" s="46"/>
    </row>
    <row r="906" customFormat="false" ht="15.75" hidden="false" customHeight="false" outlineLevel="0" collapsed="false">
      <c r="B906" s="44"/>
      <c r="K906" s="46"/>
    </row>
    <row r="907" customFormat="false" ht="15.75" hidden="false" customHeight="false" outlineLevel="0" collapsed="false">
      <c r="B907" s="44"/>
      <c r="K907" s="46"/>
    </row>
    <row r="908" customFormat="false" ht="15.75" hidden="false" customHeight="false" outlineLevel="0" collapsed="false">
      <c r="B908" s="44"/>
      <c r="K908" s="46"/>
    </row>
    <row r="909" customFormat="false" ht="15.75" hidden="false" customHeight="false" outlineLevel="0" collapsed="false">
      <c r="B909" s="44"/>
      <c r="K909" s="46"/>
    </row>
    <row r="910" customFormat="false" ht="15.75" hidden="false" customHeight="false" outlineLevel="0" collapsed="false">
      <c r="B910" s="44"/>
      <c r="K910" s="46"/>
    </row>
    <row r="911" customFormat="false" ht="15.75" hidden="false" customHeight="false" outlineLevel="0" collapsed="false">
      <c r="B911" s="44"/>
      <c r="K911" s="46"/>
    </row>
    <row r="912" customFormat="false" ht="15.75" hidden="false" customHeight="false" outlineLevel="0" collapsed="false">
      <c r="B912" s="44"/>
      <c r="K912" s="46"/>
    </row>
    <row r="913" customFormat="false" ht="15.75" hidden="false" customHeight="false" outlineLevel="0" collapsed="false">
      <c r="B913" s="44"/>
      <c r="K913" s="46"/>
    </row>
    <row r="914" customFormat="false" ht="15.75" hidden="false" customHeight="false" outlineLevel="0" collapsed="false">
      <c r="B914" s="44"/>
      <c r="K914" s="46"/>
    </row>
    <row r="915" customFormat="false" ht="15.75" hidden="false" customHeight="false" outlineLevel="0" collapsed="false">
      <c r="B915" s="44"/>
      <c r="K915" s="46"/>
    </row>
    <row r="916" customFormat="false" ht="15.75" hidden="false" customHeight="false" outlineLevel="0" collapsed="false">
      <c r="B916" s="44"/>
      <c r="K916" s="46"/>
    </row>
    <row r="917" customFormat="false" ht="15.75" hidden="false" customHeight="false" outlineLevel="0" collapsed="false">
      <c r="B917" s="44"/>
      <c r="K917" s="46"/>
    </row>
    <row r="918" customFormat="false" ht="15.75" hidden="false" customHeight="false" outlineLevel="0" collapsed="false">
      <c r="B918" s="44"/>
      <c r="K918" s="46"/>
    </row>
    <row r="919" customFormat="false" ht="15.75" hidden="false" customHeight="false" outlineLevel="0" collapsed="false">
      <c r="B919" s="44"/>
      <c r="K919" s="46"/>
    </row>
    <row r="920" customFormat="false" ht="15.75" hidden="false" customHeight="false" outlineLevel="0" collapsed="false">
      <c r="B920" s="44"/>
      <c r="K920" s="46"/>
    </row>
    <row r="921" customFormat="false" ht="15.75" hidden="false" customHeight="false" outlineLevel="0" collapsed="false">
      <c r="B921" s="44"/>
      <c r="K921" s="46"/>
    </row>
    <row r="922" customFormat="false" ht="15.75" hidden="false" customHeight="false" outlineLevel="0" collapsed="false">
      <c r="B922" s="44"/>
      <c r="K922" s="46"/>
    </row>
    <row r="923" customFormat="false" ht="15.75" hidden="false" customHeight="false" outlineLevel="0" collapsed="false">
      <c r="B923" s="44"/>
      <c r="K923" s="46"/>
    </row>
    <row r="924" customFormat="false" ht="15.75" hidden="false" customHeight="false" outlineLevel="0" collapsed="false">
      <c r="B924" s="44"/>
      <c r="K924" s="46"/>
    </row>
    <row r="925" customFormat="false" ht="15.75" hidden="false" customHeight="false" outlineLevel="0" collapsed="false">
      <c r="B925" s="44"/>
      <c r="K925" s="46"/>
    </row>
    <row r="926" customFormat="false" ht="15.75" hidden="false" customHeight="false" outlineLevel="0" collapsed="false">
      <c r="B926" s="44"/>
      <c r="K926" s="46"/>
    </row>
    <row r="927" customFormat="false" ht="15.75" hidden="false" customHeight="false" outlineLevel="0" collapsed="false">
      <c r="B927" s="44"/>
      <c r="K927" s="46"/>
    </row>
    <row r="928" customFormat="false" ht="15.75" hidden="false" customHeight="false" outlineLevel="0" collapsed="false">
      <c r="B928" s="44"/>
      <c r="K928" s="46"/>
    </row>
    <row r="929" customFormat="false" ht="15.75" hidden="false" customHeight="false" outlineLevel="0" collapsed="false">
      <c r="B929" s="44"/>
      <c r="K929" s="46"/>
    </row>
    <row r="930" customFormat="false" ht="15.75" hidden="false" customHeight="false" outlineLevel="0" collapsed="false">
      <c r="B930" s="44"/>
      <c r="K930" s="46"/>
    </row>
    <row r="931" customFormat="false" ht="15.75" hidden="false" customHeight="false" outlineLevel="0" collapsed="false">
      <c r="B931" s="44"/>
      <c r="K931" s="46"/>
    </row>
    <row r="932" customFormat="false" ht="15.75" hidden="false" customHeight="false" outlineLevel="0" collapsed="false">
      <c r="B932" s="44"/>
      <c r="K932" s="46"/>
    </row>
    <row r="933" customFormat="false" ht="15.75" hidden="false" customHeight="false" outlineLevel="0" collapsed="false">
      <c r="B933" s="44"/>
      <c r="K933" s="46"/>
    </row>
    <row r="934" customFormat="false" ht="15.75" hidden="false" customHeight="false" outlineLevel="0" collapsed="false">
      <c r="B934" s="44"/>
      <c r="K934" s="46"/>
    </row>
    <row r="935" customFormat="false" ht="15.75" hidden="false" customHeight="false" outlineLevel="0" collapsed="false">
      <c r="B935" s="44"/>
      <c r="K935" s="46"/>
    </row>
    <row r="936" customFormat="false" ht="15.75" hidden="false" customHeight="true" outlineLevel="0" collapsed="false">
      <c r="B936" s="44"/>
    </row>
    <row r="937" customFormat="false" ht="15.75" hidden="false" customHeight="true" outlineLevel="0" collapsed="false">
      <c r="B937" s="44"/>
    </row>
    <row r="938" customFormat="false" ht="15.75" hidden="false" customHeight="true" outlineLevel="0" collapsed="false">
      <c r="B938" s="44"/>
    </row>
    <row r="939" customFormat="false" ht="15.75" hidden="false" customHeight="true" outlineLevel="0" collapsed="false">
      <c r="B939" s="44"/>
    </row>
    <row r="940" customFormat="false" ht="15.75" hidden="false" customHeight="true" outlineLevel="0" collapsed="false">
      <c r="B940" s="44"/>
    </row>
    <row r="941" customFormat="false" ht="15.75" hidden="false" customHeight="true" outlineLevel="0" collapsed="false">
      <c r="B941" s="44"/>
    </row>
    <row r="942" customFormat="false" ht="15.75" hidden="false" customHeight="true" outlineLevel="0" collapsed="false">
      <c r="B942" s="44"/>
    </row>
    <row r="943" customFormat="false" ht="15.75" hidden="false" customHeight="true" outlineLevel="0" collapsed="false">
      <c r="B943" s="44"/>
    </row>
    <row r="944" customFormat="false" ht="15.75" hidden="false" customHeight="true" outlineLevel="0" collapsed="false">
      <c r="B944" s="44"/>
    </row>
    <row r="945" customFormat="false" ht="15.75" hidden="false" customHeight="true" outlineLevel="0" collapsed="false">
      <c r="B945" s="44"/>
    </row>
    <row r="946" customFormat="false" ht="15.75" hidden="false" customHeight="true" outlineLevel="0" collapsed="false">
      <c r="B946" s="44"/>
    </row>
    <row r="947" customFormat="false" ht="15.75" hidden="false" customHeight="true" outlineLevel="0" collapsed="false">
      <c r="B947" s="44"/>
    </row>
    <row r="948" customFormat="false" ht="15.75" hidden="false" customHeight="true" outlineLevel="0" collapsed="false">
      <c r="B948" s="44"/>
    </row>
    <row r="949" customFormat="false" ht="15.75" hidden="false" customHeight="true" outlineLevel="0" collapsed="false">
      <c r="B949" s="44"/>
    </row>
    <row r="950" customFormat="false" ht="15.75" hidden="false" customHeight="true" outlineLevel="0" collapsed="false">
      <c r="B950" s="44"/>
    </row>
    <row r="951" customFormat="false" ht="15.75" hidden="false" customHeight="true" outlineLevel="0" collapsed="false">
      <c r="B951" s="44"/>
    </row>
    <row r="952" customFormat="false" ht="15.75" hidden="false" customHeight="true" outlineLevel="0" collapsed="false">
      <c r="B952" s="44"/>
    </row>
    <row r="953" customFormat="false" ht="15.75" hidden="false" customHeight="true" outlineLevel="0" collapsed="false">
      <c r="B953" s="44"/>
    </row>
    <row r="954" customFormat="false" ht="15.75" hidden="false" customHeight="true" outlineLevel="0" collapsed="false">
      <c r="B954" s="44"/>
    </row>
    <row r="955" customFormat="false" ht="15.75" hidden="false" customHeight="true" outlineLevel="0" collapsed="false">
      <c r="B955" s="44"/>
    </row>
    <row r="956" customFormat="false" ht="15.75" hidden="false" customHeight="true" outlineLevel="0" collapsed="false">
      <c r="B956" s="44"/>
    </row>
    <row r="957" customFormat="false" ht="15.75" hidden="false" customHeight="true" outlineLevel="0" collapsed="false">
      <c r="B957" s="44"/>
    </row>
    <row r="958" customFormat="false" ht="15.75" hidden="false" customHeight="true" outlineLevel="0" collapsed="false">
      <c r="B958" s="44"/>
    </row>
    <row r="959" customFormat="false" ht="15.75" hidden="false" customHeight="true" outlineLevel="0" collapsed="false">
      <c r="B959" s="44"/>
    </row>
    <row r="960" customFormat="false" ht="15.75" hidden="false" customHeight="true" outlineLevel="0" collapsed="false">
      <c r="B960" s="44"/>
    </row>
    <row r="961" customFormat="false" ht="15.75" hidden="false" customHeight="true" outlineLevel="0" collapsed="false">
      <c r="B961" s="44"/>
    </row>
    <row r="962" customFormat="false" ht="15.75" hidden="false" customHeight="true" outlineLevel="0" collapsed="false">
      <c r="B962" s="44"/>
    </row>
    <row r="963" customFormat="false" ht="15.75" hidden="false" customHeight="true" outlineLevel="0" collapsed="false">
      <c r="B963" s="44"/>
    </row>
    <row r="964" customFormat="false" ht="15.75" hidden="false" customHeight="true" outlineLevel="0" collapsed="false">
      <c r="B964" s="44"/>
    </row>
    <row r="965" customFormat="false" ht="15.75" hidden="false" customHeight="true" outlineLevel="0" collapsed="false">
      <c r="B965" s="44"/>
    </row>
  </sheetData>
  <dataValidations count="9">
    <dataValidation allowBlank="true" errorStyle="stop" operator="between" showDropDown="true" showErrorMessage="false" showInputMessage="false" sqref="F2:F39" type="none">
      <formula1>0</formula1>
      <formula2>0</formula2>
    </dataValidation>
    <dataValidation allowBlank="true" errorStyle="stop" operator="between" showDropDown="false" showErrorMessage="true" showInputMessage="false" sqref="C2:C28" type="list">
      <formula1>"Martes,Miércoles,Jueves,Viernes,Lunes,Domingo,--,Sabado "</formula1>
      <formula2>0</formula2>
    </dataValidation>
    <dataValidation allowBlank="true" errorStyle="stop" operator="between" showDropDown="false" showErrorMessage="true" showInputMessage="false" sqref="G2:G28" type="list">
      <formula1>"Alta,Normal,Urgente,Baja,--"</formula1>
      <formula2>0</formula2>
    </dataValidation>
    <dataValidation allowBlank="true" errorStyle="stop" operator="between" showDropDown="true" showErrorMessage="false" showInputMessage="false" sqref="A2:A39 J2:J39" type="custom">
      <formula1>OR(NOT(ISERROR(DATEVALUE(A2))), AND(ISNUMBER(A2), LEFT(CELL("format", A2))="D"))</formula1>
      <formula2>0</formula2>
    </dataValidation>
    <dataValidation allowBlank="true" errorStyle="stop" operator="between" showDropDown="true" showErrorMessage="false" showInputMessage="false" sqref="K2:K39" type="custom">
      <formula1>AND(ISNUMBER(K2),(NOT(OR(NOT(ISERROR(DATEVALUE(K2))), AND(ISNUMBER(K2), LEFT(CELL("format", K2))="D")))))</formula1>
      <formula2>0</formula2>
    </dataValidation>
    <dataValidation allowBlank="true" errorStyle="stop" operator="between" showDropDown="false" showErrorMessage="false" showInputMessage="false" sqref="E2:E28" type="list">
      <formula1>"Ajustes,Soporte,Mejoras,Corrección,Configuraciones,Revisión,--,Pagina Web,IT,Error,Blue,SOLICITUD ,PENDIENTE,Cotización ,Production "</formula1>
      <formula2>0</formula2>
    </dataValidation>
    <dataValidation allowBlank="true" errorStyle="stop" operator="between" showDropDown="false" showErrorMessage="false" showInputMessage="false" sqref="H2:H28" type="list">
      <formula1>"Iván,Andrés,José,Héctor,Mattews,--,Carlos M,Johan,Fernando,Elkin ,Felipe,Camilo "</formula1>
      <formula2>0</formula2>
    </dataValidation>
    <dataValidation allowBlank="true" errorStyle="stop" operator="between" showDropDown="false" showErrorMessage="false" showInputMessage="false" sqref="I2:I28" type="list">
      <formula1>"Closed,Ready for testing ,Open,Under review,Partially Done,In progress,Approved,--,Needs more work,Deploy to production,Code Approved,QA Approved"</formula1>
      <formula2>0</formula2>
    </dataValidation>
    <dataValidation allowBlank="true" errorStyle="stop" operator="between" showDropDown="false" showErrorMessage="false" showInputMessage="false" sqref="D2:D28" type="list">
      <formula1>"Faktur,Backpro,Zuckerman,Facialart,Dejusticia,Happycinamon,Nulab,Ncarb,ECOS,IDK,BMS,--,Swapps,WWilson,Tabby,Smart Web Apps,Comfinagro,IMC,Geosig,Soluciones Cientificas,ESCR,Analizar y Lombana"</formula1>
      <formula2>0</formula2>
    </dataValidation>
  </dataValidations>
  <hyperlinks>
    <hyperlink ref="M2" r:id="rId2" display="https://app.clickup.com/t/86b7bbube"/>
    <hyperlink ref="M3" r:id="rId3" display="https://app.clickup.com/t/86b7c8qda"/>
    <hyperlink ref="M4" r:id="rId4" display="https://app.clickup.com/t/86b775w6r"/>
    <hyperlink ref="M5" r:id="rId5" display="https://app.clickup.com/t/86b7cb0tn"/>
    <hyperlink ref="M6" r:id="rId6" display="https://app.clickup.com/t/86b7c0dg3"/>
    <hyperlink ref="M7" r:id="rId7" display="https://app.clickup.com/t/86b7cgjzk"/>
    <hyperlink ref="M8" r:id="rId8" display="https://app.clickup.com/t/86b7cvuqz"/>
    <hyperlink ref="M9" r:id="rId9" display="https://app.clickup.com/t/86b7ctq75"/>
    <hyperlink ref="M10" r:id="rId10" display="https://app.clickup.com/t/86b7czudw"/>
    <hyperlink ref="M11" r:id="rId11" display="https://app.clickup.com/t/86b7depwp"/>
    <hyperlink ref="M12" r:id="rId12" display="https://app.clickup.com/t/86b7cvqbj"/>
    <hyperlink ref="M13" r:id="rId13" display="https://app.clickup.com/t/86b7e41xq"/>
    <hyperlink ref="M14" r:id="rId14" display="https://app.clickup.com/t/86b7e0hv5"/>
    <hyperlink ref="M15" r:id="rId15" display="https://app.clickup.com/t/86b7e0q4e"/>
    <hyperlink ref="M16" r:id="rId16" display="https://app.clickup.com/t/86b7e6np4"/>
    <hyperlink ref="M17" r:id="rId17" display="https://app.clickup.com/t/86b7e6k1r"/>
    <hyperlink ref="M18" r:id="rId18" display="https://app.clickup.com/t/86b7e6hma"/>
    <hyperlink ref="M19" r:id="rId19" display="https://app.clickup.com/t/86b7ee1g0"/>
    <hyperlink ref="M20" r:id="rId20" display="https://app.clickup.com/t/86b7eff0c"/>
    <hyperlink ref="M21" r:id="rId21" display="https://app.clickup.com/t/86b7efpe2"/>
    <hyperlink ref="M22" r:id="rId22" display="https://app.clickup.com/t/86b7f5hne"/>
    <hyperlink ref="M23" r:id="rId23" display="https://app.clickup.com/t/86b7gu2v6"/>
    <hyperlink ref="M24" r:id="rId24" display="https://app.clickup.com/t/86b7h7x9b"/>
    <hyperlink ref="M25" r:id="rId25" display="https://app.clickup.com/t/86b7hb8dj"/>
    <hyperlink ref="M26" r:id="rId26" display="https://app.clickup.com/t/86b7hba5f"/>
    <hyperlink ref="M27" r:id="rId27" display="https://app.clickup.com/t/86b7jweu7"/>
    <hyperlink ref="M28" r:id="rId28" display="https://app.clickup.com/t/86b7km2c0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29"/>
  <tableParts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2025-12-01T08:40:20Z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